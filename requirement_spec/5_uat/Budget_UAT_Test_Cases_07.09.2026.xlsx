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9">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s>
  <fills count="10">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s>
  <borders count="3">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s>
  <cellStyleXfs count="1">
    <xf numFmtId="0" fontId="0" fillId="0" borderId="0"/>
  </cellStyleXfs>
  <cellXfs count="49">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7"/>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1" t="inlineStr">
        <is>
          <t>Budget Web Application — UAT Test Cases</t>
        </is>
      </c>
      <c r="B1" s="2" t="n"/>
    </row>
    <row r="2" ht="13.5" customHeight="1">
      <c r="A2" s="3" t="inlineStr">
        <is>
          <t>Chememan PCL (CMAN)  |  User Acceptance Testing (UAT)  |  Data &amp; Analytics  |  Round 1  |  FY2027</t>
        </is>
      </c>
      <c r="B2" s="4" t="n"/>
    </row>
    <row r="3" ht="6" customHeight="1"/>
    <row r="4" ht="19.5" customHeight="1">
      <c r="A4" s="5" t="inlineStr">
        <is>
          <t>Project Information</t>
        </is>
      </c>
      <c r="B4" s="4"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 t="inlineStr">
        <is>
          <t>ข้อควรระวังก่อนเริ่มทดสอบ</t>
        </is>
      </c>
      <c r="B21" s="4" t="n"/>
    </row>
    <row r="22" ht="30" customHeight="1">
      <c r="A22" s="8"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9" t="n"/>
    </row>
    <row r="23" ht="56" customHeight="1">
      <c r="A23" s="8"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9" t="n"/>
    </row>
    <row r="24" ht="30" customHeight="1">
      <c r="A24" s="8"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9" t="n"/>
    </row>
    <row r="25" ht="30" customHeight="1">
      <c r="A25" s="8"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9" t="n"/>
    </row>
    <row r="26" ht="56" customHeight="1">
      <c r="A26" s="8"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9" t="n"/>
    </row>
    <row r="27" ht="56" customHeight="1">
      <c r="A27" s="8"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9" t="n"/>
    </row>
    <row r="29" ht="19.5" customHeight="1">
      <c r="A29" s="5" t="inlineStr">
        <is>
          <t>วิธีใช้ไฟล์นี้ / How to use this workbook</t>
        </is>
      </c>
      <c r="B29" s="4" t="n"/>
    </row>
    <row r="30" ht="56" customHeight="1">
      <c r="A30" s="8"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9" t="n"/>
    </row>
    <row r="31" ht="28" customHeight="1">
      <c r="A31" s="8" t="inlineStr">
        <is>
          <t>2.  วิธีเรียง: คลิกลูกศรกรองบนหัวคอลัมน์ `ลำดับการรัน` แล้วเลือก “Sort Smallest to Largest” จากนั้นไล่ทำจากบนลงล่าง</t>
        </is>
      </c>
      <c r="B31" s="9" t="n"/>
    </row>
    <row r="32" ht="42" customHeight="1">
      <c r="A32" s="8"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9" t="n"/>
    </row>
    <row r="33" ht="16.5" customHeight="1">
      <c r="A33" s="8" t="inlineStr">
        <is>
          <t>4.  ทดสอบทีละเคสตาม “Test Steps” แล้วเทียบผลกับ “Expected Result”</t>
        </is>
      </c>
      <c r="B33" s="9" t="n"/>
    </row>
    <row r="34" ht="28" customHeight="1">
      <c r="A34" s="8"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9" t="n"/>
    </row>
    <row r="35" ht="28" customHeight="1">
      <c r="A35" s="8" t="inlineStr">
        <is>
          <t>6.  **ผู้ทดสอบกรอกเฉพาะช่องพื้นหลังสีเหลือง 7 ช่องนี้:** Actual Result, Status, Severity, Defect ID, Tester, Test Date, Remarks</t>
        </is>
      </c>
      <c r="B35" s="9" t="n"/>
    </row>
    <row r="36" ht="28" customHeight="1">
      <c r="A36" s="8"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9" t="n"/>
    </row>
    <row r="37" ht="42" customHeight="1">
      <c r="A37" s="8"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9" t="n"/>
    </row>
    <row r="38" ht="16.5" customHeight="1">
      <c r="A38" s="8" t="inlineStr">
        <is>
          <t>9.  แท็บ “3. Summary” สรุปผลอัตโนมัติ (จำนวน / อัตราผ่าน / แยกตาม Module, Wave และฝ่าย) ไม่ต้องกรอกเอง</t>
        </is>
      </c>
      <c r="B38" s="9" t="n"/>
    </row>
    <row r="39" ht="42" customHeight="1">
      <c r="A39" s="8"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 ระหว่างทดสอบ ผู้ทดสอบไม่ต้องแตะคอลัมน์นี้</t>
        </is>
      </c>
      <c r="B39" s="9" t="n"/>
    </row>
    <row r="40" ht="42" customHeight="1">
      <c r="A40" s="8"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9" t="n"/>
    </row>
    <row r="41" ht="28" customHeight="1">
      <c r="A41" s="8"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9" t="n"/>
    </row>
    <row r="43" ht="19.5" customHeight="1">
      <c r="A43" s="5" t="inlineStr">
        <is>
          <t>ตัวอย่างการกรอก 1 แถว (worked example)</t>
        </is>
      </c>
      <c r="B43" s="4" t="n"/>
    </row>
    <row r="44" ht="16.5" customHeight="1">
      <c r="A44" s="8" t="inlineStr">
        <is>
          <t>เคสตัวอย่าง UAT-09 (ระลอก W2) — “กรอกยอดแล้วคลิกออกจากช่อง = บันทึกอัตโนมัติ · refresh หน้าแล้วค่ายังอยู่”</t>
        </is>
      </c>
      <c r="B44" s="9" t="n"/>
    </row>
    <row r="45" ht="42" customHeight="1">
      <c r="A45" s="8"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9" t="n"/>
    </row>
    <row r="46" ht="28" customHeight="1">
      <c r="A46" s="8"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9" t="n"/>
    </row>
    <row r="47" ht="28" customHeight="1">
      <c r="A47" s="8"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9" t="n"/>
    </row>
    <row r="49" ht="19.5" customHeight="1">
      <c r="A49" s="5" t="inlineStr">
        <is>
          <t>Legend / คำอธิบายสี &amp; สถานะ</t>
        </is>
      </c>
      <c r="B49" s="4" t="n"/>
    </row>
    <row r="50" ht="27" customHeight="1">
      <c r="A50" s="10" t="n"/>
      <c r="B50" s="7" t="inlineStr">
        <is>
          <t>ช่องพื้นหลังสีเหลือง = ช่องที่ผู้ทดสอบกรอกระหว่างรอบทดสอบ (7 ช่อง: Actual Result, Status, Severity, Defect ID, Tester, Test Date, Remarks)</t>
        </is>
      </c>
    </row>
    <row r="51" ht="27" customHeight="1">
      <c r="A51" s="7" t="n"/>
      <c r="B51" s="7" t="inlineStr">
        <is>
          <t>ช่อง `PIC` เป็นช่องสีขาว แต่เป็นข้อยกเว้นเดียวที่ต้องกรอก — Test Lead กรอกก่อนเริ่มรอบ ผู้ทดสอบไม่ต้องแตะ · ช่องสีขาวอื่นทั้งหมดคือเนื้อหาเคส ไม่ต้องแก้</t>
        </is>
      </c>
    </row>
    <row r="52" ht="48" customHeight="1">
      <c r="A52" s="7" t="n"/>
      <c r="B52"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3" ht="16.5" customHeight="1">
      <c r="A53" s="11" t="n"/>
      <c r="B53" s="7" t="inlineStr">
        <is>
          <t>Status = Pass  (ผลตรงตามที่คาดหวังทุกข้อ)</t>
        </is>
      </c>
    </row>
    <row r="54" ht="27" customHeight="1">
      <c r="A54" s="12" t="n"/>
      <c r="B54" s="7" t="inlineStr">
        <is>
          <t>Status = Fail  (ผลไม่ตรงอย่างน้อย 1 ข้อ — ต้องเปิดแถวใน “4. Defects” และใส่เลข Defect ID)</t>
        </is>
      </c>
    </row>
    <row r="55" ht="27" customHeight="1">
      <c r="A55" s="13" t="n"/>
      <c r="B55" s="7" t="inlineStr">
        <is>
          <t>Status = Blocked (ทดสอบไม่ได้ ติดเคสอื่นหรือข้อมูลยังไม่พร้อม) · N/A (ไม่เกี่ยวกับรอบนี้)</t>
        </is>
      </c>
    </row>
    <row r="56" ht="27" customHeight="1">
      <c r="A56" s="7" t="n"/>
      <c r="B56"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7" ht="45" customHeight="1">
      <c r="A57" s="15"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7" s="9"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57:B57"/>
    <mergeCell ref="A33:B33"/>
    <mergeCell ref="A47:B47"/>
    <mergeCell ref="A32:B32"/>
    <mergeCell ref="A23:B23"/>
    <mergeCell ref="A22:B22"/>
    <mergeCell ref="A35:B35"/>
    <mergeCell ref="A4:B4"/>
    <mergeCell ref="A38:B38"/>
    <mergeCell ref="A29:B29"/>
    <mergeCell ref="A43:B43"/>
    <mergeCell ref="A44:B44"/>
    <mergeCell ref="A40:B40"/>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16" t="inlineStr">
        <is>
          <t>Budget Web App — UAT Test Cases (Round 1 · FY2027 · production)</t>
        </is>
      </c>
      <c r="B1" s="2" t="n"/>
      <c r="C1" s="2" t="n"/>
      <c r="D1" s="2" t="n"/>
      <c r="E1" s="2" t="n"/>
      <c r="F1" s="2" t="n"/>
      <c r="G1" s="2" t="n"/>
      <c r="H1" s="2" t="n"/>
      <c r="I1" s="2" t="n"/>
      <c r="J1" s="2" t="n"/>
      <c r="K1" s="2" t="n"/>
      <c r="L1" s="2" t="n"/>
      <c r="M1" s="2" t="n"/>
      <c r="N1" s="2" t="n"/>
      <c r="O1" s="2" t="n"/>
      <c r="P1" s="2" t="n"/>
      <c r="Q1" s="2" t="n"/>
      <c r="R1" s="2" t="n"/>
      <c r="S1" s="2" t="n"/>
      <c r="T1" s="2"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21" t="n"/>
      <c r="O3" s="21" t="n"/>
      <c r="P3" s="22" t="n"/>
      <c r="Q3" s="22" t="n"/>
      <c r="R3" s="21" t="n"/>
      <c r="S3" s="23" t="n"/>
      <c r="T3" s="21" t="n"/>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21" t="n"/>
      <c r="O4" s="21" t="n"/>
      <c r="P4" s="22" t="n"/>
      <c r="Q4" s="22" t="n"/>
      <c r="R4" s="21" t="n"/>
      <c r="S4" s="23" t="n"/>
      <c r="T4" s="21" t="n"/>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21" t="n"/>
      <c r="O5" s="21" t="n"/>
      <c r="P5" s="22" t="n"/>
      <c r="Q5" s="22" t="n"/>
      <c r="R5" s="21" t="n"/>
      <c r="S5" s="23" t="n"/>
      <c r="T5" s="21" t="n"/>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21" t="n"/>
      <c r="O6" s="21" t="n"/>
      <c r="P6" s="22" t="n"/>
      <c r="Q6" s="22" t="n"/>
      <c r="R6" s="21" t="n"/>
      <c r="S6" s="23" t="n"/>
      <c r="T6" s="21" t="n"/>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21" t="n"/>
      <c r="O7" s="21" t="n"/>
      <c r="P7" s="22" t="n"/>
      <c r="Q7" s="22" t="n"/>
      <c r="R7" s="21" t="n"/>
      <c r="S7" s="23" t="n"/>
      <c r="T7" s="21" t="n"/>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21" t="n"/>
      <c r="O8" s="21" t="n"/>
      <c r="P8" s="22" t="n"/>
      <c r="Q8" s="22" t="n"/>
      <c r="R8" s="21" t="n"/>
      <c r="S8" s="23" t="n"/>
      <c r="T8" s="21" t="n"/>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21" t="n"/>
      <c r="O9" s="21" t="n"/>
      <c r="P9" s="22" t="n"/>
      <c r="Q9" s="22" t="n"/>
      <c r="R9" s="21" t="n"/>
      <c r="S9" s="23" t="n"/>
      <c r="T9" s="21" t="n"/>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21" t="n"/>
      <c r="O10" s="21" t="n"/>
      <c r="P10" s="22" t="n"/>
      <c r="Q10" s="22" t="n"/>
      <c r="R10" s="21" t="n"/>
      <c r="S10" s="23" t="n"/>
      <c r="T10" s="21" t="n"/>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21" t="n"/>
      <c r="O11" s="21" t="n"/>
      <c r="P11" s="22" t="n"/>
      <c r="Q11" s="22" t="n"/>
      <c r="R11" s="21" t="n"/>
      <c r="S11" s="23" t="n"/>
      <c r="T11" s="21" t="n"/>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21" t="n"/>
      <c r="O12" s="21" t="n"/>
      <c r="P12" s="22" t="n"/>
      <c r="Q12" s="22" t="n"/>
      <c r="R12" s="21" t="n"/>
      <c r="S12" s="23" t="n"/>
      <c r="T12" s="21" t="n"/>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21" t="n"/>
      <c r="O13" s="21" t="n"/>
      <c r="P13" s="22" t="n"/>
      <c r="Q13" s="22" t="n"/>
      <c r="R13" s="21" t="n"/>
      <c r="S13" s="23" t="n"/>
      <c r="T13" s="21" t="n"/>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21" t="n"/>
      <c r="O14" s="21" t="n"/>
      <c r="P14" s="22" t="n"/>
      <c r="Q14" s="22" t="n"/>
      <c r="R14" s="21" t="n"/>
      <c r="S14" s="23" t="n"/>
      <c r="T14" s="21" t="n"/>
    </row>
    <row r="15" ht="204"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และ `กรุณาเลือก GL Code` ตรงช่องที่ขาดอย่างชัดเจน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21" t="n"/>
      <c r="O15" s="21" t="n"/>
      <c r="P15" s="22" t="n"/>
      <c r="Q15" s="22" t="n"/>
      <c r="R15" s="21" t="n"/>
      <c r="S15" s="23" t="n"/>
      <c r="T15" s="21" t="n"/>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21" t="n"/>
      <c r="O16" s="21" t="n"/>
      <c r="P16" s="22" t="n"/>
      <c r="Q16" s="22" t="n"/>
      <c r="R16" s="21" t="n"/>
      <c r="S16" s="23" t="n"/>
      <c r="T16" s="21" t="n"/>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21" t="n"/>
      <c r="O17" s="21" t="n"/>
      <c r="P17" s="22" t="n"/>
      <c r="Q17" s="22" t="n"/>
      <c r="R17" s="21" t="n"/>
      <c r="S17" s="23" t="n"/>
      <c r="T17" s="21" t="n"/>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21" t="n"/>
      <c r="O18" s="21" t="n"/>
      <c r="P18" s="22" t="n"/>
      <c r="Q18" s="22" t="n"/>
      <c r="R18" s="21" t="n"/>
      <c r="S18" s="23" t="n"/>
      <c r="T18" s="21" t="n"/>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21" t="n"/>
      <c r="O19" s="21" t="n"/>
      <c r="P19" s="22" t="n"/>
      <c r="Q19" s="22" t="n"/>
      <c r="R19" s="21" t="n"/>
      <c r="S19" s="23" t="n"/>
      <c r="T19" s="21" t="n"/>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21" t="n"/>
      <c r="O20" s="21" t="n"/>
      <c r="P20" s="22" t="n"/>
      <c r="Q20" s="22" t="n"/>
      <c r="R20" s="21" t="n"/>
      <c r="S20" s="23" t="n"/>
      <c r="T20" s="21" t="n"/>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21" t="n"/>
      <c r="O21" s="21" t="n"/>
      <c r="P21" s="22" t="n"/>
      <c r="Q21" s="22" t="n"/>
      <c r="R21" s="21" t="n"/>
      <c r="S21" s="23" t="n"/>
      <c r="T21" s="21" t="n"/>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21" t="n"/>
      <c r="O22" s="21" t="n"/>
      <c r="P22" s="22" t="n"/>
      <c r="Q22" s="22" t="n"/>
      <c r="R22" s="21" t="n"/>
      <c r="S22" s="23" t="n"/>
      <c r="T22" s="21" t="n"/>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21" t="n"/>
      <c r="O23" s="21" t="n"/>
      <c r="P23" s="22" t="n"/>
      <c r="Q23" s="22" t="n"/>
      <c r="R23" s="21" t="n"/>
      <c r="S23" s="23" t="n"/>
      <c r="T23" s="21" t="n"/>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21" t="n"/>
      <c r="O24" s="21" t="n"/>
      <c r="P24" s="22" t="n"/>
      <c r="Q24" s="22" t="n"/>
      <c r="R24" s="21" t="n"/>
      <c r="S24" s="23" t="n"/>
      <c r="T24" s="21" t="n"/>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21" t="n"/>
      <c r="O25" s="21" t="n"/>
      <c r="P25" s="22" t="n"/>
      <c r="Q25" s="22" t="n"/>
      <c r="R25" s="21" t="n"/>
      <c r="S25" s="23" t="n"/>
      <c r="T25" s="21" t="n"/>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21" t="n"/>
      <c r="O26" s="21" t="n"/>
      <c r="P26" s="22" t="n"/>
      <c r="Q26" s="22" t="n"/>
      <c r="R26" s="21" t="n"/>
      <c r="S26" s="23" t="n"/>
      <c r="T26" s="21" t="n"/>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21" t="n"/>
      <c r="O27" s="21" t="n"/>
      <c r="P27" s="22" t="n"/>
      <c r="Q27" s="22" t="n"/>
      <c r="R27" s="21" t="n"/>
      <c r="S27" s="23" t="n"/>
      <c r="T27" s="21" t="n"/>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21" t="n"/>
      <c r="O28" s="21" t="n"/>
      <c r="P28" s="22" t="n"/>
      <c r="Q28" s="22" t="n"/>
      <c r="R28" s="21" t="n"/>
      <c r="S28" s="23" t="n"/>
      <c r="T28" s="21" t="n"/>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21" t="n"/>
      <c r="O29" s="21" t="n"/>
      <c r="P29" s="22" t="n"/>
      <c r="Q29" s="22" t="n"/>
      <c r="R29" s="21" t="n"/>
      <c r="S29" s="23" t="n"/>
      <c r="T29" s="21" t="n"/>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21" t="n"/>
      <c r="O30" s="21" t="n"/>
      <c r="P30" s="22" t="n"/>
      <c r="Q30" s="22" t="n"/>
      <c r="R30" s="21" t="n"/>
      <c r="S30" s="23" t="n"/>
      <c r="T30" s="21" t="n"/>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21" t="n"/>
      <c r="O31" s="21" t="n"/>
      <c r="P31" s="22" t="n"/>
      <c r="Q31" s="22" t="n"/>
      <c r="R31" s="21" t="n"/>
      <c r="S31" s="23" t="n"/>
      <c r="T31" s="21" t="n"/>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21" t="n"/>
      <c r="O32" s="21" t="n"/>
      <c r="P32" s="22" t="n"/>
      <c r="Q32" s="22" t="n"/>
      <c r="R32" s="21" t="n"/>
      <c r="S32" s="23" t="n"/>
      <c r="T32" s="21" t="n"/>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21" t="n"/>
      <c r="O33" s="21" t="n"/>
      <c r="P33" s="22" t="n"/>
      <c r="Q33" s="22" t="n"/>
      <c r="R33" s="21" t="n"/>
      <c r="S33" s="23" t="n"/>
      <c r="T33" s="21" t="n"/>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21" t="n"/>
      <c r="O34" s="21" t="n"/>
      <c r="P34" s="22" t="n"/>
      <c r="Q34" s="22" t="n"/>
      <c r="R34" s="21" t="n"/>
      <c r="S34" s="23" t="n"/>
      <c r="T34" s="21" t="n"/>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21" t="n"/>
      <c r="O35" s="21" t="n"/>
      <c r="P35" s="22" t="n"/>
      <c r="Q35" s="22" t="n"/>
      <c r="R35" s="21" t="n"/>
      <c r="S35" s="23" t="n"/>
      <c r="T35" s="21" t="n"/>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21" t="n"/>
      <c r="O36" s="21" t="n"/>
      <c r="P36" s="22" t="n"/>
      <c r="Q36" s="22" t="n"/>
      <c r="R36" s="21" t="n"/>
      <c r="S36" s="23" t="n"/>
      <c r="T36" s="21" t="n"/>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21" t="n"/>
      <c r="O37" s="21" t="n"/>
      <c r="P37" s="22" t="n"/>
      <c r="Q37" s="22" t="n"/>
      <c r="R37" s="21" t="n"/>
      <c r="S37" s="23" t="n"/>
      <c r="T37" s="21" t="n"/>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21" t="n"/>
      <c r="O38" s="21" t="n"/>
      <c r="P38" s="22" t="n"/>
      <c r="Q38" s="22" t="n"/>
      <c r="R38" s="21" t="n"/>
      <c r="S38" s="23" t="n"/>
      <c r="T38" s="21" t="n"/>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21" t="n"/>
      <c r="O39" s="21" t="n"/>
      <c r="P39" s="22" t="n"/>
      <c r="Q39" s="22" t="n"/>
      <c r="R39" s="21" t="n"/>
      <c r="S39" s="23" t="n"/>
      <c r="T39" s="21" t="n"/>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21" t="n"/>
      <c r="O40" s="21" t="n"/>
      <c r="P40" s="22" t="n"/>
      <c r="Q40" s="22" t="n"/>
      <c r="R40" s="21" t="n"/>
      <c r="S40" s="23" t="n"/>
      <c r="T40" s="21" t="n"/>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21" t="n"/>
      <c r="O41" s="21" t="n"/>
      <c r="P41" s="22" t="n"/>
      <c r="Q41" s="22" t="n"/>
      <c r="R41" s="21" t="n"/>
      <c r="S41" s="23" t="n"/>
      <c r="T41" s="21" t="n"/>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21" t="n"/>
      <c r="O42" s="21" t="n"/>
      <c r="P42" s="22" t="n"/>
      <c r="Q42" s="22" t="n"/>
      <c r="R42" s="21" t="n"/>
      <c r="S42" s="23" t="n"/>
      <c r="T42" s="21" t="n"/>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21" t="n"/>
      <c r="O43" s="21" t="n"/>
      <c r="P43" s="22" t="n"/>
      <c r="Q43" s="22" t="n"/>
      <c r="R43" s="21" t="n"/>
      <c r="S43" s="23" t="n"/>
      <c r="T43" s="21" t="n"/>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21" t="n"/>
      <c r="O44" s="21" t="n"/>
      <c r="P44" s="22" t="n"/>
      <c r="Q44" s="22" t="n"/>
      <c r="R44" s="21" t="n"/>
      <c r="S44" s="23" t="n"/>
      <c r="T44" s="21" t="n"/>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21" t="n"/>
      <c r="O45" s="21" t="n"/>
      <c r="P45" s="22" t="n"/>
      <c r="Q45" s="22" t="n"/>
      <c r="R45" s="21" t="n"/>
      <c r="S45" s="23" t="n"/>
      <c r="T45" s="21" t="n"/>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1" t="n"/>
      <c r="S46" s="23"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21" t="n"/>
      <c r="O47" s="21" t="n"/>
      <c r="P47" s="22" t="n"/>
      <c r="Q47" s="22" t="n"/>
      <c r="R47" s="21" t="n"/>
      <c r="S47" s="23" t="n"/>
      <c r="T47" s="21" t="n"/>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21" t="n"/>
      <c r="O48" s="21" t="n"/>
      <c r="P48" s="22" t="n"/>
      <c r="Q48" s="22" t="n"/>
      <c r="R48" s="21" t="n"/>
      <c r="S48" s="23" t="n"/>
      <c r="T48" s="21" t="n"/>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21" t="n"/>
      <c r="O49" s="21" t="n"/>
      <c r="P49" s="22" t="n"/>
      <c r="Q49" s="22" t="n"/>
      <c r="R49" s="21" t="n"/>
      <c r="S49" s="23" t="n"/>
      <c r="T49" s="21" t="n"/>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1" t="n"/>
      <c r="S50" s="23"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21" t="n"/>
      <c r="O51" s="21" t="n"/>
      <c r="P51" s="22" t="n"/>
      <c r="Q51" s="22" t="n"/>
      <c r="R51" s="21" t="n"/>
      <c r="S51" s="23" t="n"/>
      <c r="T51" s="21" t="n"/>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1" t="n"/>
      <c r="S52" s="23"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21" t="n"/>
      <c r="O53" s="21" t="n"/>
      <c r="P53" s="22" t="n"/>
      <c r="Q53" s="22" t="n"/>
      <c r="R53" s="21" t="n"/>
      <c r="S53" s="23" t="n"/>
      <c r="T53" s="21" t="n"/>
    </row>
    <row r="54" ht="588"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(ตรวจตอนฝ่ายยังเป็น `Draft — not submitted` — **ทำทันทีหลัง UAT-26 ก่อนเริ่ม UAT-32** ตาม Test Steps ข้อ 2 แล้วกลับมาบันทึกผลที่เคสนี้) การกรอกจำนวนวันเดินทางเป็นค่าติดลบ ถูกปฏิเสธพร้อมข้อความภาษาไทยที่บอกสาเหตุและบอกว่าต้องกรอกอย่างไรจึงจะถูกต้อง · อย่าเพิ่งตัดสิน Pass/Fail เคสนี้จนกว่าจะทำข้อ 2 เสร็จ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21" t="n"/>
      <c r="O54" s="21" t="n"/>
      <c r="P54" s="22" t="n"/>
      <c r="Q54" s="22" t="n"/>
      <c r="R54" s="21" t="n"/>
      <c r="S54" s="23" t="n"/>
      <c r="T54" s="21" t="n"/>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21" t="n"/>
      <c r="O55" s="21" t="n"/>
      <c r="P55" s="22" t="n"/>
      <c r="Q55" s="22" t="n"/>
      <c r="R55" s="21" t="n"/>
      <c r="S55" s="23" t="n"/>
      <c r="T55" s="21" t="n"/>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21" t="n"/>
      <c r="O56" s="21" t="n"/>
      <c r="P56" s="22" t="n"/>
      <c r="Q56" s="22" t="n"/>
      <c r="R56" s="21" t="n"/>
      <c r="S56" s="23" t="n"/>
      <c r="T56" s="21" t="n"/>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24" t="inlineStr">
        <is>
          <t>UAT Test Execution — Summary  ·  Round 1  ·  FY2027</t>
        </is>
      </c>
      <c r="C2" s="2" t="n"/>
      <c r="D2" s="2" t="n"/>
      <c r="E2" s="2" t="n"/>
      <c r="F2" s="2" t="n"/>
      <c r="G2" s="2" t="n"/>
      <c r="H2" s="2" t="n"/>
      <c r="I2" s="2" t="n"/>
      <c r="J2" s="2" t="n"/>
      <c r="K2" s="2" t="n"/>
      <c r="L2" s="2" t="n"/>
      <c r="M2" s="2" t="n"/>
      <c r="N2" s="2" t="n"/>
      <c r="O2" s="2" t="n"/>
      <c r="P2" s="2" t="n"/>
    </row>
    <row r="3" ht="15.75" customHeight="1">
      <c r="B3" s="25" t="inlineStr">
        <is>
          <t>สรุปผลอัตโนมัติจากแท็บ “2. Test Cases” (ไม่ต้องกรอกเอง) · ทุกสูตรนับช่วงแถวจริง 3–56</t>
        </is>
      </c>
      <c r="C3" s="4" t="n"/>
      <c r="D3" s="4" t="n"/>
      <c r="E3" s="4" t="n"/>
      <c r="F3" s="4" t="n"/>
      <c r="G3" s="4" t="n"/>
      <c r="H3" s="4" t="n"/>
      <c r="I3" s="4" t="n"/>
      <c r="J3" s="4" t="n"/>
      <c r="K3" s="4" t="n"/>
      <c r="L3" s="4" t="n"/>
      <c r="M3" s="4" t="n"/>
      <c r="N3" s="4" t="n"/>
      <c r="O3" s="4" t="n"/>
      <c r="P3" s="4" t="n"/>
    </row>
    <row r="5">
      <c r="B5" s="26" t="inlineStr">
        <is>
          <t>Result</t>
        </is>
      </c>
      <c r="C5" s="27" t="inlineStr">
        <is>
          <t>Count</t>
        </is>
      </c>
      <c r="D5" s="27" t="n"/>
      <c r="E5" s="27" t="n"/>
    </row>
    <row r="6" ht="16.5" customHeight="1">
      <c r="B6" s="28" t="inlineStr">
        <is>
          <t>Total test cases</t>
        </is>
      </c>
      <c r="C6" s="29">
        <f>COUNTA('2. Test Cases'!$D$3:$D$56)</f>
        <v/>
      </c>
      <c r="D6" s="29" t="n"/>
      <c r="E6" s="29" t="n"/>
    </row>
    <row r="7" ht="16.5" customHeight="1">
      <c r="B7" s="30" t="inlineStr">
        <is>
          <t>Pass</t>
        </is>
      </c>
      <c r="C7" s="31">
        <f>COUNTIF('2. Test Cases'!$O$3:$O$56,"Pass")</f>
        <v/>
      </c>
      <c r="D7" s="31" t="n"/>
      <c r="E7" s="31" t="n"/>
    </row>
    <row r="8" ht="16.5" customHeight="1">
      <c r="B8" s="32" t="inlineStr">
        <is>
          <t>Fail</t>
        </is>
      </c>
      <c r="C8" s="33">
        <f>COUNTIF('2. Test Cases'!$O$3:$O$56,"Fail")</f>
        <v/>
      </c>
      <c r="D8" s="33" t="n"/>
      <c r="E8" s="33" t="n"/>
    </row>
    <row r="9" ht="16.5" customHeight="1">
      <c r="B9" s="34" t="inlineStr">
        <is>
          <t>Blocked</t>
        </is>
      </c>
      <c r="C9" s="35">
        <f>COUNTIF('2. Test Cases'!$O$3:$O$56,"Blocked")</f>
        <v/>
      </c>
      <c r="D9" s="35" t="n"/>
      <c r="E9" s="35" t="n"/>
    </row>
    <row r="10" ht="16.5" customHeight="1">
      <c r="B10" s="36" t="inlineStr">
        <is>
          <t>Not Run (ยังไม่ได้ทดสอบ)</t>
        </is>
      </c>
      <c r="C10" s="37">
        <f>C6-C7-C8-C9-C11</f>
        <v/>
      </c>
      <c r="D10" s="37" t="n"/>
      <c r="E10" s="37" t="n"/>
    </row>
    <row r="11" ht="16.5" customHeight="1">
      <c r="B11" s="36" t="inlineStr">
        <is>
          <t>N/A</t>
        </is>
      </c>
      <c r="C11" s="37">
        <f>COUNTIF('2. Test Cases'!$O$3:$O$56,"N/A")</f>
        <v/>
      </c>
      <c r="D11" s="37" t="n"/>
      <c r="E11" s="37" t="n"/>
    </row>
    <row r="12" ht="24.75" customHeight="1">
      <c r="B12" s="38" t="inlineStr">
        <is>
          <t>Pass Rate (Pass / Executed)</t>
        </is>
      </c>
      <c r="C12" s="39">
        <f>IFERROR(COUNTIF('2. Test Cases'!$O$3:$O$56,"Pass")/(COUNTIF('2. Test Cases'!$O$3:$O$56,"Pass")+COUNTIF('2. Test Cases'!$O$3:$O$56,"Fail")+COUNTIF('2. Test Cases'!$O$3:$O$56,"Blocked")),"-")</f>
        <v/>
      </c>
      <c r="D12" s="40" t="n"/>
      <c r="E12" s="40" t="n"/>
    </row>
    <row r="14" ht="18" customHeight="1">
      <c r="B14" s="41" t="inlineStr">
        <is>
          <t>Breakdown by Module</t>
        </is>
      </c>
      <c r="C14" s="4" t="n"/>
      <c r="D14" s="4" t="n"/>
      <c r="E14" s="4" t="n"/>
      <c r="G14" s="41" t="inlineStr">
        <is>
          <t>Breakdown by Wave</t>
        </is>
      </c>
      <c r="H14" s="4" t="n"/>
      <c r="I14" s="4" t="n"/>
      <c r="J14" s="4" t="n"/>
      <c r="K14" s="4" t="n"/>
      <c r="M14" s="41" t="inlineStr">
        <is>
          <t>Breakdown by Department</t>
        </is>
      </c>
      <c r="N14" s="4" t="n"/>
      <c r="O14" s="4" t="n"/>
      <c r="P14" s="4" t="n"/>
    </row>
    <row r="15" ht="15.75" customHeight="1">
      <c r="B15" s="27" t="inlineStr">
        <is>
          <t>Module</t>
        </is>
      </c>
      <c r="C15" s="27" t="inlineStr">
        <is>
          <t>Total</t>
        </is>
      </c>
      <c r="D15" s="27" t="inlineStr">
        <is>
          <t>Pass</t>
        </is>
      </c>
      <c r="E15" s="27" t="inlineStr">
        <is>
          <t>Fail</t>
        </is>
      </c>
      <c r="G15" s="27" t="inlineStr">
        <is>
          <t>Wave</t>
        </is>
      </c>
      <c r="H15" s="27" t="inlineStr">
        <is>
          <t>ชื่อระลอก</t>
        </is>
      </c>
      <c r="I15" s="27" t="inlineStr">
        <is>
          <t>Total</t>
        </is>
      </c>
      <c r="J15" s="27" t="inlineStr">
        <is>
          <t>Pass</t>
        </is>
      </c>
      <c r="K15" s="27" t="inlineStr">
        <is>
          <t>Fail</t>
        </is>
      </c>
      <c r="M15" s="27" t="inlineStr">
        <is>
          <t>Department</t>
        </is>
      </c>
      <c r="N15" s="27" t="inlineStr">
        <is>
          <t>Total</t>
        </is>
      </c>
      <c r="O15" s="27" t="inlineStr">
        <is>
          <t>Pass</t>
        </is>
      </c>
      <c r="P15" s="27" t="inlineStr">
        <is>
          <t>Fail</t>
        </is>
      </c>
    </row>
    <row r="16" ht="15" customHeight="1">
      <c r="B16" s="42" t="inlineStr">
        <is>
          <t>Login / Authentication</t>
        </is>
      </c>
      <c r="C16" s="43">
        <f>COUNTIF('2. Test Cases'!$E$3:$E$56,"Login / Authentication")</f>
        <v/>
      </c>
      <c r="D16" s="44">
        <f>COUNTIFS('2. Test Cases'!$E$3:$E$56,"Login / Authentication",'2. Test Cases'!$O$3:$O$56,"Pass")</f>
        <v/>
      </c>
      <c r="E16" s="45">
        <f>COUNTIFS('2. Test Cases'!$E$3:$E$56,"Login / Authentication",'2. Test Cases'!$O$3:$O$56,"Fail")</f>
        <v/>
      </c>
      <c r="G16" s="42" t="inlineStr">
        <is>
          <t>W1</t>
        </is>
      </c>
      <c r="H16" s="42" t="inlineStr">
        <is>
          <t>เข้าระบบและสิทธิ์ที่มองเห็น</t>
        </is>
      </c>
      <c r="I16" s="43">
        <f>COUNTIF('2. Test Cases'!$A$3:$A$56,"W1")</f>
        <v/>
      </c>
      <c r="J16" s="44">
        <f>COUNTIFS('2. Test Cases'!$A$3:$A$56,"W1",'2. Test Cases'!$O$3:$O$56,"Pass")</f>
        <v/>
      </c>
      <c r="K16" s="45">
        <f>COUNTIFS('2. Test Cases'!$A$3:$A$56,"W1",'2. Test Cases'!$O$3:$O$56,"Fail")</f>
        <v/>
      </c>
      <c r="M16" s="42" t="inlineStr">
        <is>
          <t>Data &amp; Analytic</t>
        </is>
      </c>
      <c r="N16" s="43">
        <f>COUNTIF('2. Test Cases'!$F$3:$F$56,"Data &amp; Analytic")</f>
        <v/>
      </c>
      <c r="O16" s="44">
        <f>COUNTIFS('2. Test Cases'!$F$3:$F$56,"Data &amp; Analytic",'2. Test Cases'!$O$3:$O$56,"Pass")</f>
        <v/>
      </c>
      <c r="P16" s="45">
        <f>COUNTIFS('2. Test Cases'!$F$3:$F$56,"Data &amp; Analytic",'2. Test Cases'!$O$3:$O$56,"Fail")</f>
        <v/>
      </c>
    </row>
    <row r="17" ht="15" customHeight="1">
      <c r="B17" s="42" t="inlineStr">
        <is>
          <t>Budget Entry (Filler)</t>
        </is>
      </c>
      <c r="C17" s="43">
        <f>COUNTIF('2. Test Cases'!$E$3:$E$56,"Budget Entry (Filler)")</f>
        <v/>
      </c>
      <c r="D17" s="44">
        <f>COUNTIFS('2. Test Cases'!$E$3:$E$56,"Budget Entry (Filler)",'2. Test Cases'!$O$3:$O$56,"Pass")</f>
        <v/>
      </c>
      <c r="E17" s="45">
        <f>COUNTIFS('2. Test Cases'!$E$3:$E$56,"Budget Entry (Filler)",'2. Test Cases'!$O$3:$O$56,"Fail")</f>
        <v/>
      </c>
      <c r="G17" s="42" t="inlineStr">
        <is>
          <t>W2</t>
        </is>
      </c>
      <c r="H17" s="42" t="inlineStr">
        <is>
          <t>กรอกงบในตารางหลัก</t>
        </is>
      </c>
      <c r="I17" s="43">
        <f>COUNTIF('2. Test Cases'!$A$3:$A$56,"W2")</f>
        <v/>
      </c>
      <c r="J17" s="44">
        <f>COUNTIFS('2. Test Cases'!$A$3:$A$56,"W2",'2. Test Cases'!$O$3:$O$56,"Pass")</f>
        <v/>
      </c>
      <c r="K17" s="45">
        <f>COUNTIFS('2. Test Cases'!$A$3:$A$56,"W2",'2. Test Cases'!$O$3:$O$56,"Fail")</f>
        <v/>
      </c>
      <c r="M17" s="42" t="inlineStr">
        <is>
          <t>Solution Delivery</t>
        </is>
      </c>
      <c r="N17" s="43">
        <f>COUNTIF('2. Test Cases'!$F$3:$F$56,"Solution Delivery")</f>
        <v/>
      </c>
      <c r="O17" s="44">
        <f>COUNTIFS('2. Test Cases'!$F$3:$F$56,"Solution Delivery",'2. Test Cases'!$O$3:$O$56,"Pass")</f>
        <v/>
      </c>
      <c r="P17" s="45">
        <f>COUNTIFS('2. Test Cases'!$F$3:$F$56,"Solution Delivery",'2. Test Cases'!$O$3:$O$56,"Fail")</f>
        <v/>
      </c>
    </row>
    <row r="18" ht="15" customHeight="1">
      <c r="B18" s="42" t="inlineStr">
        <is>
          <t>Special GL Subform</t>
        </is>
      </c>
      <c r="C18" s="43">
        <f>COUNTIF('2. Test Cases'!$E$3:$E$56,"Special GL Subform")</f>
        <v/>
      </c>
      <c r="D18" s="44">
        <f>COUNTIFS('2. Test Cases'!$E$3:$E$56,"Special GL Subform",'2. Test Cases'!$O$3:$O$56,"Pass")</f>
        <v/>
      </c>
      <c r="E18" s="45">
        <f>COUNTIFS('2. Test Cases'!$E$3:$E$56,"Special GL Subform",'2. Test Cases'!$O$3:$O$56,"Fail")</f>
        <v/>
      </c>
      <c r="G18" s="42" t="inlineStr">
        <is>
          <t>W3</t>
        </is>
      </c>
      <c r="H18" s="42" t="inlineStr">
        <is>
          <t>ฟอร์มย่อยและทริปเดินทาง</t>
        </is>
      </c>
      <c r="I18" s="43">
        <f>COUNTIF('2. Test Cases'!$A$3:$A$56,"W3")</f>
        <v/>
      </c>
      <c r="J18" s="44">
        <f>COUNTIFS('2. Test Cases'!$A$3:$A$56,"W3",'2. Test Cases'!$O$3:$O$56,"Pass")</f>
        <v/>
      </c>
      <c r="K18" s="45">
        <f>COUNTIFS('2. Test Cases'!$A$3:$A$56,"W3",'2. Test Cases'!$O$3:$O$56,"Fail")</f>
        <v/>
      </c>
      <c r="M18" s="42" t="inlineStr">
        <is>
          <t>ทั้งสองฝ่าย</t>
        </is>
      </c>
      <c r="N18" s="43">
        <f>COUNTIF('2. Test Cases'!$F$3:$F$56,"ทั้งสองฝ่าย")</f>
        <v/>
      </c>
      <c r="O18" s="44">
        <f>COUNTIFS('2. Test Cases'!$F$3:$F$56,"ทั้งสองฝ่าย",'2. Test Cases'!$O$3:$O$56,"Pass")</f>
        <v/>
      </c>
      <c r="P18" s="45">
        <f>COUNTIFS('2. Test Cases'!$F$3:$F$56,"ทั้งสองฝ่าย",'2. Test Cases'!$O$3:$O$56,"Fail")</f>
        <v/>
      </c>
    </row>
    <row r="19" ht="15" customHeight="1">
      <c r="B19" s="42" t="inlineStr">
        <is>
          <t>Attachments</t>
        </is>
      </c>
      <c r="C19" s="43">
        <f>COUNTIF('2. Test Cases'!$E$3:$E$56,"Attachments")</f>
        <v/>
      </c>
      <c r="D19" s="44">
        <f>COUNTIFS('2. Test Cases'!$E$3:$E$56,"Attachments",'2. Test Cases'!$O$3:$O$56,"Pass")</f>
        <v/>
      </c>
      <c r="E19" s="45">
        <f>COUNTIFS('2. Test Cases'!$E$3:$E$56,"Attachments",'2. Test Cases'!$O$3:$O$56,"Fail")</f>
        <v/>
      </c>
      <c r="G19" s="42" t="inlineStr">
        <is>
          <t>W4</t>
        </is>
      </c>
      <c r="H19" s="42" t="inlineStr">
        <is>
          <t>แนบเอกสาร</t>
        </is>
      </c>
      <c r="I19" s="43">
        <f>COUNTIF('2. Test Cases'!$A$3:$A$56,"W4")</f>
        <v/>
      </c>
      <c r="J19" s="44">
        <f>COUNTIFS('2. Test Cases'!$A$3:$A$56,"W4",'2. Test Cases'!$O$3:$O$56,"Pass")</f>
        <v/>
      </c>
      <c r="K19" s="45">
        <f>COUNTIFS('2. Test Cases'!$A$3:$A$56,"W4",'2. Test Cases'!$O$3:$O$56,"Fail")</f>
        <v/>
      </c>
      <c r="M19" s="42" t="inlineStr">
        <is>
          <t>-</t>
        </is>
      </c>
      <c r="N19" s="43">
        <f>COUNTIF('2. Test Cases'!$F$3:$F$56,"-")</f>
        <v/>
      </c>
      <c r="O19" s="44">
        <f>COUNTIFS('2. Test Cases'!$F$3:$F$56,"-",'2. Test Cases'!$O$3:$O$56,"Pass")</f>
        <v/>
      </c>
      <c r="P19" s="45">
        <f>COUNTIFS('2. Test Cases'!$F$3:$F$56,"-",'2. Test Cases'!$O$3:$O$56,"Fail")</f>
        <v/>
      </c>
    </row>
    <row r="20" ht="15.75" customHeight="1">
      <c r="B20" s="42" t="inlineStr">
        <is>
          <t>Submission / Workflow</t>
        </is>
      </c>
      <c r="C20" s="43">
        <f>COUNTIF('2. Test Cases'!$E$3:$E$56,"Submission / Workflow")</f>
        <v/>
      </c>
      <c r="D20" s="44">
        <f>COUNTIFS('2. Test Cases'!$E$3:$E$56,"Submission / Workflow",'2. Test Cases'!$O$3:$O$56,"Pass")</f>
        <v/>
      </c>
      <c r="E20" s="45">
        <f>COUNTIFS('2. Test Cases'!$E$3:$E$56,"Submission / Workflow",'2. Test Cases'!$O$3:$O$56,"Fail")</f>
        <v/>
      </c>
      <c r="G20" s="42" t="inlineStr">
        <is>
          <t>W5</t>
        </is>
      </c>
      <c r="H20" s="42" t="inlineStr">
        <is>
          <t>ส่งขออนุมัติ</t>
        </is>
      </c>
      <c r="I20" s="43">
        <f>COUNTIF('2. Test Cases'!$A$3:$A$56,"W5")</f>
        <v/>
      </c>
      <c r="J20" s="44">
        <f>COUNTIFS('2. Test Cases'!$A$3:$A$56,"W5",'2. Test Cases'!$O$3:$O$56,"Pass")</f>
        <v/>
      </c>
      <c r="K20" s="45">
        <f>COUNTIFS('2. Test Cases'!$A$3:$A$56,"W5",'2. Test Cases'!$O$3:$O$56,"Fail")</f>
        <v/>
      </c>
      <c r="M20" s="38" t="inlineStr">
        <is>
          <t>รวม / Total</t>
        </is>
      </c>
      <c r="N20" s="46">
        <f>SUM(N16:N19)</f>
        <v/>
      </c>
      <c r="O20" s="46">
        <f>SUM(O16:O19)</f>
        <v/>
      </c>
      <c r="P20" s="46">
        <f>SUM(P16:P19)</f>
        <v/>
      </c>
    </row>
    <row r="21" ht="15" customHeight="1">
      <c r="B21" s="42" t="inlineStr">
        <is>
          <t>Approval</t>
        </is>
      </c>
      <c r="C21" s="43">
        <f>COUNTIF('2. Test Cases'!$E$3:$E$56,"Approval")</f>
        <v/>
      </c>
      <c r="D21" s="44">
        <f>COUNTIFS('2. Test Cases'!$E$3:$E$56,"Approval",'2. Test Cases'!$O$3:$O$56,"Pass")</f>
        <v/>
      </c>
      <c r="E21" s="45">
        <f>COUNTIFS('2. Test Cases'!$E$3:$E$56,"Approval",'2. Test Cases'!$O$3:$O$56,"Fail")</f>
        <v/>
      </c>
      <c r="G21" s="42" t="inlineStr">
        <is>
          <t>W6</t>
        </is>
      </c>
      <c r="H21" s="42" t="inlineStr">
        <is>
          <t>อนุมัติ 3 ขั้น</t>
        </is>
      </c>
      <c r="I21" s="43">
        <f>COUNTIF('2. Test Cases'!$A$3:$A$56,"W6")</f>
        <v/>
      </c>
      <c r="J21" s="44">
        <f>COUNTIFS('2. Test Cases'!$A$3:$A$56,"W6",'2. Test Cases'!$O$3:$O$56,"Pass")</f>
        <v/>
      </c>
      <c r="K21" s="45">
        <f>COUNTIFS('2. Test Cases'!$A$3:$A$56,"W6",'2. Test Cases'!$O$3:$O$56,"Fail")</f>
        <v/>
      </c>
    </row>
    <row r="22" ht="15" customHeight="1">
      <c r="B22" s="42" t="inlineStr">
        <is>
          <t>Email Alert / Notification</t>
        </is>
      </c>
      <c r="C22" s="43">
        <f>COUNTIF('2. Test Cases'!$E$3:$E$56,"Email Alert / Notification")</f>
        <v/>
      </c>
      <c r="D22" s="44">
        <f>COUNTIFS('2. Test Cases'!$E$3:$E$56,"Email Alert / Notification",'2. Test Cases'!$O$3:$O$56,"Pass")</f>
        <v/>
      </c>
      <c r="E22" s="45">
        <f>COUNTIFS('2. Test Cases'!$E$3:$E$56,"Email Alert / Notification",'2. Test Cases'!$O$3:$O$56,"Fail")</f>
        <v/>
      </c>
      <c r="G22" s="42" t="inlineStr">
        <is>
          <t>W7</t>
        </is>
      </c>
      <c r="H22" s="42" t="inlineStr">
        <is>
          <t>อีเมลแจ้งเตือน</t>
        </is>
      </c>
      <c r="I22" s="43">
        <f>COUNTIF('2. Test Cases'!$A$3:$A$56,"W7")</f>
        <v/>
      </c>
      <c r="J22" s="44">
        <f>COUNTIFS('2. Test Cases'!$A$3:$A$56,"W7",'2. Test Cases'!$O$3:$O$56,"Pass")</f>
        <v/>
      </c>
      <c r="K22" s="45">
        <f>COUNTIFS('2. Test Cases'!$A$3:$A$56,"W7",'2. Test Cases'!$O$3:$O$56,"Fail")</f>
        <v/>
      </c>
    </row>
    <row r="23" ht="15" customHeight="1">
      <c r="B23" s="42" t="inlineStr">
        <is>
          <t>Business Rules &amp; UI</t>
        </is>
      </c>
      <c r="C23" s="43">
        <f>COUNTIF('2. Test Cases'!$E$3:$E$56,"Business Rules &amp; UI")</f>
        <v/>
      </c>
      <c r="D23" s="44">
        <f>COUNTIFS('2. Test Cases'!$E$3:$E$56,"Business Rules &amp; UI",'2. Test Cases'!$O$3:$O$56,"Pass")</f>
        <v/>
      </c>
      <c r="E23" s="45">
        <f>COUNTIFS('2. Test Cases'!$E$3:$E$56,"Business Rules &amp; UI",'2. Test Cases'!$O$3:$O$56,"Fail")</f>
        <v/>
      </c>
      <c r="G23" s="42" t="inlineStr">
        <is>
          <t>W8</t>
        </is>
      </c>
      <c r="H23" s="42" t="inlineStr">
        <is>
          <t>หน้าตาและกติกาที่ต้องยอมรับ</t>
        </is>
      </c>
      <c r="I23" s="43">
        <f>COUNTIF('2. Test Cases'!$A$3:$A$56,"W8")</f>
        <v/>
      </c>
      <c r="J23" s="44">
        <f>COUNTIFS('2. Test Cases'!$A$3:$A$56,"W8",'2. Test Cases'!$O$3:$O$56,"Pass")</f>
        <v/>
      </c>
      <c r="K23" s="45">
        <f>COUNTIFS('2. Test Cases'!$A$3:$A$56,"W8",'2. Test Cases'!$O$3:$O$56,"Fail")</f>
        <v/>
      </c>
    </row>
    <row r="24" ht="15.75" customHeight="1">
      <c r="B24" s="38" t="inlineStr">
        <is>
          <t>รวม / Total</t>
        </is>
      </c>
      <c r="C24" s="46">
        <f>SUM(C16:C23)</f>
        <v/>
      </c>
      <c r="D24" s="46">
        <f>SUM(D16:D23)</f>
        <v/>
      </c>
      <c r="E24" s="46">
        <f>SUM(E16:E23)</f>
        <v/>
      </c>
      <c r="G24" s="38" t="inlineStr">
        <is>
          <t>รวม / Total</t>
        </is>
      </c>
      <c r="H24" s="38" t="n"/>
      <c r="I24" s="46">
        <f>SUM(I16:I23)</f>
        <v/>
      </c>
      <c r="J24" s="46">
        <f>SUM(J16:J23)</f>
        <v/>
      </c>
      <c r="K24" s="46">
        <f>SUM(K16:K23)</f>
        <v/>
      </c>
    </row>
    <row r="26" ht="45" customHeight="1">
      <c r="B26" s="47"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9" t="n"/>
      <c r="D26" s="9" t="n"/>
      <c r="E26" s="9" t="n"/>
      <c r="F26" s="9" t="n"/>
      <c r="G26" s="9" t="n"/>
      <c r="H26" s="9" t="n"/>
      <c r="I26" s="9" t="n"/>
      <c r="J26" s="9" t="n"/>
      <c r="K26" s="9" t="n"/>
      <c r="L26" s="9" t="n"/>
      <c r="M26" s="9" t="n"/>
      <c r="N26" s="9" t="n"/>
      <c r="O26" s="9" t="n"/>
      <c r="P26" s="9" t="n"/>
    </row>
  </sheetData>
  <mergeCells count="14">
    <mergeCell ref="C11:E11"/>
    <mergeCell ref="B2:P2"/>
    <mergeCell ref="C5:E5"/>
    <mergeCell ref="B26:P26"/>
    <mergeCell ref="B3:P3"/>
    <mergeCell ref="M14:P14"/>
    <mergeCell ref="C8:E8"/>
    <mergeCell ref="C9:E9"/>
    <mergeCell ref="G14:K14"/>
    <mergeCell ref="C7:E7"/>
    <mergeCell ref="B14:E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16" t="inlineStr">
        <is>
          <t>Budget Web App — UAT Defect Log  ·  เปิดแถวใหม่ทุกครั้งที่มีเคส Status = Fail แล้วนำเลข Defect ID ไปใส่ในคอลัมน์ Defect ID ของแท็บ “2. Test Cases”</t>
        </is>
      </c>
      <c r="B1" s="2" t="n"/>
      <c r="C1" s="2" t="n"/>
      <c r="D1" s="2" t="n"/>
      <c r="E1" s="2" t="n"/>
      <c r="F1" s="2" t="n"/>
      <c r="G1" s="2" t="n"/>
      <c r="H1" s="2" t="n"/>
      <c r="I1" s="2" t="n"/>
      <c r="J1" s="2" t="n"/>
      <c r="K1" s="2" t="n"/>
      <c r="L1" s="2" t="n"/>
      <c r="M1" s="2"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3" t="n"/>
      <c r="H3" s="21" t="n"/>
      <c r="I3" s="22" t="n"/>
      <c r="J3" s="21" t="n"/>
      <c r="K3" s="23" t="n"/>
      <c r="L3" s="22" t="n"/>
      <c r="M3" s="21" t="n"/>
    </row>
    <row r="4" ht="16.5" customHeight="1">
      <c r="A4" s="22" t="inlineStr">
        <is>
          <t>D-002</t>
        </is>
      </c>
      <c r="B4" s="22" t="n"/>
      <c r="C4" s="21" t="n"/>
      <c r="D4" s="21" t="n"/>
      <c r="E4" s="22" t="n"/>
      <c r="F4" s="21" t="n"/>
      <c r="G4" s="23" t="n"/>
      <c r="H4" s="21" t="n"/>
      <c r="I4" s="22" t="n"/>
      <c r="J4" s="21" t="n"/>
      <c r="K4" s="23" t="n"/>
      <c r="L4" s="22" t="n"/>
      <c r="M4" s="21" t="n"/>
    </row>
    <row r="5" ht="16.5" customHeight="1">
      <c r="A5" s="22" t="inlineStr">
        <is>
          <t>D-003</t>
        </is>
      </c>
      <c r="B5" s="22" t="n"/>
      <c r="C5" s="21" t="n"/>
      <c r="D5" s="21" t="n"/>
      <c r="E5" s="22" t="n"/>
      <c r="F5" s="21" t="n"/>
      <c r="G5" s="23" t="n"/>
      <c r="H5" s="21" t="n"/>
      <c r="I5" s="22" t="n"/>
      <c r="J5" s="21" t="n"/>
      <c r="K5" s="23" t="n"/>
      <c r="L5" s="22" t="n"/>
      <c r="M5" s="21" t="n"/>
    </row>
    <row r="6" ht="16.5" customHeight="1">
      <c r="A6" s="22" t="inlineStr">
        <is>
          <t>D-004</t>
        </is>
      </c>
      <c r="B6" s="22" t="n"/>
      <c r="C6" s="21" t="n"/>
      <c r="D6" s="21" t="n"/>
      <c r="E6" s="22" t="n"/>
      <c r="F6" s="21" t="n"/>
      <c r="G6" s="23" t="n"/>
      <c r="H6" s="21" t="n"/>
      <c r="I6" s="22" t="n"/>
      <c r="J6" s="21" t="n"/>
      <c r="K6" s="23" t="n"/>
      <c r="L6" s="22" t="n"/>
      <c r="M6" s="21" t="n"/>
    </row>
    <row r="7" ht="16.5" customHeight="1">
      <c r="A7" s="22" t="inlineStr">
        <is>
          <t>D-005</t>
        </is>
      </c>
      <c r="B7" s="22" t="n"/>
      <c r="C7" s="21" t="n"/>
      <c r="D7" s="21" t="n"/>
      <c r="E7" s="22" t="n"/>
      <c r="F7" s="21" t="n"/>
      <c r="G7" s="23" t="n"/>
      <c r="H7" s="21" t="n"/>
      <c r="I7" s="22" t="n"/>
      <c r="J7" s="21" t="n"/>
      <c r="K7" s="23" t="n"/>
      <c r="L7" s="22" t="n"/>
      <c r="M7" s="21" t="n"/>
    </row>
    <row r="8" ht="16.5" customHeight="1">
      <c r="A8" s="22" t="inlineStr">
        <is>
          <t>D-006</t>
        </is>
      </c>
      <c r="B8" s="22" t="n"/>
      <c r="C8" s="21" t="n"/>
      <c r="D8" s="21" t="n"/>
      <c r="E8" s="22" t="n"/>
      <c r="F8" s="21" t="n"/>
      <c r="G8" s="23" t="n"/>
      <c r="H8" s="21" t="n"/>
      <c r="I8" s="22" t="n"/>
      <c r="J8" s="21" t="n"/>
      <c r="K8" s="23" t="n"/>
      <c r="L8" s="22" t="n"/>
      <c r="M8" s="21" t="n"/>
    </row>
    <row r="9" ht="16.5" customHeight="1">
      <c r="A9" s="22" t="inlineStr">
        <is>
          <t>D-007</t>
        </is>
      </c>
      <c r="B9" s="22" t="n"/>
      <c r="C9" s="21" t="n"/>
      <c r="D9" s="21" t="n"/>
      <c r="E9" s="22" t="n"/>
      <c r="F9" s="21" t="n"/>
      <c r="G9" s="23" t="n"/>
      <c r="H9" s="21" t="n"/>
      <c r="I9" s="22" t="n"/>
      <c r="J9" s="21" t="n"/>
      <c r="K9" s="23" t="n"/>
      <c r="L9" s="22" t="n"/>
      <c r="M9" s="21" t="n"/>
    </row>
    <row r="10" ht="16.5" customHeight="1">
      <c r="A10" s="22" t="inlineStr">
        <is>
          <t>D-008</t>
        </is>
      </c>
      <c r="B10" s="22" t="n"/>
      <c r="C10" s="21" t="n"/>
      <c r="D10" s="21" t="n"/>
      <c r="E10" s="22" t="n"/>
      <c r="F10" s="21" t="n"/>
      <c r="G10" s="23" t="n"/>
      <c r="H10" s="21" t="n"/>
      <c r="I10" s="22" t="n"/>
      <c r="J10" s="21" t="n"/>
      <c r="K10" s="23" t="n"/>
      <c r="L10" s="22" t="n"/>
      <c r="M10" s="21" t="n"/>
    </row>
    <row r="11" ht="16.5" customHeight="1">
      <c r="A11" s="22" t="inlineStr">
        <is>
          <t>D-009</t>
        </is>
      </c>
      <c r="B11" s="22" t="n"/>
      <c r="C11" s="21" t="n"/>
      <c r="D11" s="21" t="n"/>
      <c r="E11" s="22" t="n"/>
      <c r="F11" s="21" t="n"/>
      <c r="G11" s="23" t="n"/>
      <c r="H11" s="21" t="n"/>
      <c r="I11" s="22" t="n"/>
      <c r="J11" s="21" t="n"/>
      <c r="K11" s="23" t="n"/>
      <c r="L11" s="22" t="n"/>
      <c r="M11" s="21" t="n"/>
    </row>
    <row r="12" ht="16.5" customHeight="1">
      <c r="A12" s="22" t="inlineStr">
        <is>
          <t>D-010</t>
        </is>
      </c>
      <c r="B12" s="22" t="n"/>
      <c r="C12" s="21" t="n"/>
      <c r="D12" s="21" t="n"/>
      <c r="E12" s="22" t="n"/>
      <c r="F12" s="21" t="n"/>
      <c r="G12" s="23" t="n"/>
      <c r="H12" s="21" t="n"/>
      <c r="I12" s="22" t="n"/>
      <c r="J12" s="21" t="n"/>
      <c r="K12" s="23" t="n"/>
      <c r="L12" s="22" t="n"/>
      <c r="M12" s="21" t="n"/>
    </row>
    <row r="13" ht="16.5" customHeight="1">
      <c r="A13" s="22" t="inlineStr">
        <is>
          <t>D-011</t>
        </is>
      </c>
      <c r="B13" s="22" t="n"/>
      <c r="C13" s="21" t="n"/>
      <c r="D13" s="21" t="n"/>
      <c r="E13" s="22" t="n"/>
      <c r="F13" s="21" t="n"/>
      <c r="G13" s="23" t="n"/>
      <c r="H13" s="21" t="n"/>
      <c r="I13" s="22" t="n"/>
      <c r="J13" s="21" t="n"/>
      <c r="K13" s="23" t="n"/>
      <c r="L13" s="22" t="n"/>
      <c r="M13" s="21" t="n"/>
    </row>
    <row r="14" ht="16.5" customHeight="1">
      <c r="A14" s="22" t="inlineStr">
        <is>
          <t>D-012</t>
        </is>
      </c>
      <c r="B14" s="22" t="n"/>
      <c r="C14" s="21" t="n"/>
      <c r="D14" s="21" t="n"/>
      <c r="E14" s="22" t="n"/>
      <c r="F14" s="21" t="n"/>
      <c r="G14" s="23" t="n"/>
      <c r="H14" s="21" t="n"/>
      <c r="I14" s="22" t="n"/>
      <c r="J14" s="21" t="n"/>
      <c r="K14" s="23" t="n"/>
      <c r="L14" s="22" t="n"/>
      <c r="M14" s="21" t="n"/>
    </row>
    <row r="15" ht="16.5" customHeight="1">
      <c r="A15" s="22" t="inlineStr">
        <is>
          <t>D-013</t>
        </is>
      </c>
      <c r="B15" s="22" t="n"/>
      <c r="C15" s="21" t="n"/>
      <c r="D15" s="21" t="n"/>
      <c r="E15" s="22" t="n"/>
      <c r="F15" s="21" t="n"/>
      <c r="G15" s="23" t="n"/>
      <c r="H15" s="21" t="n"/>
      <c r="I15" s="22" t="n"/>
      <c r="J15" s="21" t="n"/>
      <c r="K15" s="23" t="n"/>
      <c r="L15" s="22" t="n"/>
      <c r="M15" s="21" t="n"/>
    </row>
    <row r="16" ht="16.5" customHeight="1">
      <c r="A16" s="22" t="inlineStr">
        <is>
          <t>D-014</t>
        </is>
      </c>
      <c r="B16" s="22" t="n"/>
      <c r="C16" s="21" t="n"/>
      <c r="D16" s="21" t="n"/>
      <c r="E16" s="22" t="n"/>
      <c r="F16" s="21" t="n"/>
      <c r="G16" s="23" t="n"/>
      <c r="H16" s="21" t="n"/>
      <c r="I16" s="22" t="n"/>
      <c r="J16" s="21" t="n"/>
      <c r="K16" s="23" t="n"/>
      <c r="L16" s="22" t="n"/>
      <c r="M16" s="21" t="n"/>
    </row>
    <row r="17" ht="16.5" customHeight="1">
      <c r="A17" s="22" t="inlineStr">
        <is>
          <t>D-015</t>
        </is>
      </c>
      <c r="B17" s="22" t="n"/>
      <c r="C17" s="21" t="n"/>
      <c r="D17" s="21" t="n"/>
      <c r="E17" s="22" t="n"/>
      <c r="F17" s="21" t="n"/>
      <c r="G17" s="23" t="n"/>
      <c r="H17" s="21" t="n"/>
      <c r="I17" s="22" t="n"/>
      <c r="J17" s="21" t="n"/>
      <c r="K17" s="23" t="n"/>
      <c r="L17" s="22" t="n"/>
      <c r="M17" s="21" t="n"/>
    </row>
    <row r="18" ht="16.5" customHeight="1">
      <c r="A18" s="22" t="inlineStr">
        <is>
          <t>D-016</t>
        </is>
      </c>
      <c r="B18" s="22" t="n"/>
      <c r="C18" s="21" t="n"/>
      <c r="D18" s="21" t="n"/>
      <c r="E18" s="22" t="n"/>
      <c r="F18" s="21" t="n"/>
      <c r="G18" s="23" t="n"/>
      <c r="H18" s="21" t="n"/>
      <c r="I18" s="22" t="n"/>
      <c r="J18" s="21" t="n"/>
      <c r="K18" s="23" t="n"/>
      <c r="L18" s="22" t="n"/>
      <c r="M18" s="21" t="n"/>
    </row>
    <row r="19" ht="16.5" customHeight="1">
      <c r="A19" s="22" t="inlineStr">
        <is>
          <t>D-017</t>
        </is>
      </c>
      <c r="B19" s="22" t="n"/>
      <c r="C19" s="21" t="n"/>
      <c r="D19" s="21" t="n"/>
      <c r="E19" s="22" t="n"/>
      <c r="F19" s="21" t="n"/>
      <c r="G19" s="23" t="n"/>
      <c r="H19" s="21" t="n"/>
      <c r="I19" s="22" t="n"/>
      <c r="J19" s="21" t="n"/>
      <c r="K19" s="23" t="n"/>
      <c r="L19" s="22" t="n"/>
      <c r="M19" s="21" t="n"/>
    </row>
    <row r="20" ht="16.5" customHeight="1">
      <c r="A20" s="22" t="inlineStr">
        <is>
          <t>D-018</t>
        </is>
      </c>
      <c r="B20" s="22" t="n"/>
      <c r="C20" s="21" t="n"/>
      <c r="D20" s="21" t="n"/>
      <c r="E20" s="22" t="n"/>
      <c r="F20" s="21" t="n"/>
      <c r="G20" s="23" t="n"/>
      <c r="H20" s="21" t="n"/>
      <c r="I20" s="22" t="n"/>
      <c r="J20" s="21" t="n"/>
      <c r="K20" s="23" t="n"/>
      <c r="L20" s="22" t="n"/>
      <c r="M20" s="21" t="n"/>
    </row>
    <row r="21" ht="16.5" customHeight="1">
      <c r="A21" s="22" t="inlineStr">
        <is>
          <t>D-019</t>
        </is>
      </c>
      <c r="B21" s="22" t="n"/>
      <c r="C21" s="21" t="n"/>
      <c r="D21" s="21" t="n"/>
      <c r="E21" s="22" t="n"/>
      <c r="F21" s="21" t="n"/>
      <c r="G21" s="23" t="n"/>
      <c r="H21" s="21" t="n"/>
      <c r="I21" s="22" t="n"/>
      <c r="J21" s="21" t="n"/>
      <c r="K21" s="23" t="n"/>
      <c r="L21" s="22" t="n"/>
      <c r="M21" s="21" t="n"/>
    </row>
    <row r="22" ht="16.5" customHeight="1">
      <c r="A22" s="22" t="inlineStr">
        <is>
          <t>D-020</t>
        </is>
      </c>
      <c r="B22" s="22" t="n"/>
      <c r="C22" s="21" t="n"/>
      <c r="D22" s="21" t="n"/>
      <c r="E22" s="22" t="n"/>
      <c r="F22" s="21" t="n"/>
      <c r="G22" s="23" t="n"/>
      <c r="H22" s="21" t="n"/>
      <c r="I22" s="22" t="n"/>
      <c r="J22" s="21" t="n"/>
      <c r="K22" s="23" t="n"/>
      <c r="L22" s="22" t="n"/>
      <c r="M22" s="21" t="n"/>
    </row>
    <row r="23" ht="16.5" customHeight="1">
      <c r="A23" s="22" t="inlineStr">
        <is>
          <t>D-021</t>
        </is>
      </c>
      <c r="B23" s="22" t="n"/>
      <c r="C23" s="21" t="n"/>
      <c r="D23" s="21" t="n"/>
      <c r="E23" s="22" t="n"/>
      <c r="F23" s="21" t="n"/>
      <c r="G23" s="23" t="n"/>
      <c r="H23" s="21" t="n"/>
      <c r="I23" s="22" t="n"/>
      <c r="J23" s="21" t="n"/>
      <c r="K23" s="23" t="n"/>
      <c r="L23" s="22" t="n"/>
      <c r="M23" s="21" t="n"/>
    </row>
    <row r="24" ht="16.5" customHeight="1">
      <c r="A24" s="22" t="inlineStr">
        <is>
          <t>D-022</t>
        </is>
      </c>
      <c r="B24" s="22" t="n"/>
      <c r="C24" s="21" t="n"/>
      <c r="D24" s="21" t="n"/>
      <c r="E24" s="22" t="n"/>
      <c r="F24" s="21" t="n"/>
      <c r="G24" s="23" t="n"/>
      <c r="H24" s="21" t="n"/>
      <c r="I24" s="22" t="n"/>
      <c r="J24" s="21" t="n"/>
      <c r="K24" s="23" t="n"/>
      <c r="L24" s="22" t="n"/>
      <c r="M24" s="21" t="n"/>
    </row>
    <row r="25" ht="16.5" customHeight="1">
      <c r="A25" s="22" t="inlineStr">
        <is>
          <t>D-023</t>
        </is>
      </c>
      <c r="B25" s="22" t="n"/>
      <c r="C25" s="21" t="n"/>
      <c r="D25" s="21" t="n"/>
      <c r="E25" s="22" t="n"/>
      <c r="F25" s="21" t="n"/>
      <c r="G25" s="23" t="n"/>
      <c r="H25" s="21" t="n"/>
      <c r="I25" s="22" t="n"/>
      <c r="J25" s="21" t="n"/>
      <c r="K25" s="23" t="n"/>
      <c r="L25" s="22" t="n"/>
      <c r="M25" s="21" t="n"/>
    </row>
    <row r="26" ht="16.5" customHeight="1">
      <c r="A26" s="22" t="inlineStr">
        <is>
          <t>D-024</t>
        </is>
      </c>
      <c r="B26" s="22" t="n"/>
      <c r="C26" s="21" t="n"/>
      <c r="D26" s="21" t="n"/>
      <c r="E26" s="22" t="n"/>
      <c r="F26" s="21" t="n"/>
      <c r="G26" s="23" t="n"/>
      <c r="H26" s="21" t="n"/>
      <c r="I26" s="22" t="n"/>
      <c r="J26" s="21" t="n"/>
      <c r="K26" s="23" t="n"/>
      <c r="L26" s="22" t="n"/>
      <c r="M26" s="21" t="n"/>
    </row>
    <row r="27" ht="16.5" customHeight="1">
      <c r="A27" s="22" t="inlineStr">
        <is>
          <t>D-025</t>
        </is>
      </c>
      <c r="B27" s="22" t="n"/>
      <c r="C27" s="21" t="n"/>
      <c r="D27" s="21" t="n"/>
      <c r="E27" s="22" t="n"/>
      <c r="F27" s="21" t="n"/>
      <c r="G27" s="23" t="n"/>
      <c r="H27" s="21" t="n"/>
      <c r="I27" s="22" t="n"/>
      <c r="J27" s="21" t="n"/>
      <c r="K27" s="23" t="n"/>
      <c r="L27" s="22" t="n"/>
      <c r="M27" s="21" t="n"/>
    </row>
    <row r="28" ht="16.5" customHeight="1">
      <c r="A28" s="22" t="inlineStr">
        <is>
          <t>D-026</t>
        </is>
      </c>
      <c r="B28" s="22" t="n"/>
      <c r="C28" s="21" t="n"/>
      <c r="D28" s="21" t="n"/>
      <c r="E28" s="22" t="n"/>
      <c r="F28" s="21" t="n"/>
      <c r="G28" s="23" t="n"/>
      <c r="H28" s="21" t="n"/>
      <c r="I28" s="22" t="n"/>
      <c r="J28" s="21" t="n"/>
      <c r="K28" s="23" t="n"/>
      <c r="L28" s="22" t="n"/>
      <c r="M28" s="21" t="n"/>
    </row>
    <row r="29" ht="16.5" customHeight="1">
      <c r="A29" s="22" t="inlineStr">
        <is>
          <t>D-027</t>
        </is>
      </c>
      <c r="B29" s="22" t="n"/>
      <c r="C29" s="21" t="n"/>
      <c r="D29" s="21" t="n"/>
      <c r="E29" s="22" t="n"/>
      <c r="F29" s="21" t="n"/>
      <c r="G29" s="23" t="n"/>
      <c r="H29" s="21" t="n"/>
      <c r="I29" s="22" t="n"/>
      <c r="J29" s="21" t="n"/>
      <c r="K29" s="23" t="n"/>
      <c r="L29" s="22" t="n"/>
      <c r="M29" s="21" t="n"/>
    </row>
    <row r="30" ht="16.5" customHeight="1">
      <c r="A30" s="22" t="inlineStr">
        <is>
          <t>D-028</t>
        </is>
      </c>
      <c r="B30" s="22" t="n"/>
      <c r="C30" s="21" t="n"/>
      <c r="D30" s="21" t="n"/>
      <c r="E30" s="22" t="n"/>
      <c r="F30" s="21" t="n"/>
      <c r="G30" s="23" t="n"/>
      <c r="H30" s="21" t="n"/>
      <c r="I30" s="22" t="n"/>
      <c r="J30" s="21" t="n"/>
      <c r="K30" s="23" t="n"/>
      <c r="L30" s="22" t="n"/>
      <c r="M30" s="21" t="n"/>
    </row>
    <row r="31" ht="16.5" customHeight="1">
      <c r="A31" s="22" t="inlineStr">
        <is>
          <t>D-029</t>
        </is>
      </c>
      <c r="B31" s="22" t="n"/>
      <c r="C31" s="21" t="n"/>
      <c r="D31" s="21" t="n"/>
      <c r="E31" s="22" t="n"/>
      <c r="F31" s="21" t="n"/>
      <c r="G31" s="23" t="n"/>
      <c r="H31" s="21" t="n"/>
      <c r="I31" s="22" t="n"/>
      <c r="J31" s="21" t="n"/>
      <c r="K31" s="23" t="n"/>
      <c r="L31" s="22" t="n"/>
      <c r="M31" s="21" t="n"/>
    </row>
    <row r="32" ht="16.5" customHeight="1">
      <c r="A32" s="22" t="inlineStr">
        <is>
          <t>D-030</t>
        </is>
      </c>
      <c r="B32" s="22" t="n"/>
      <c r="C32" s="21" t="n"/>
      <c r="D32" s="21" t="n"/>
      <c r="E32" s="22" t="n"/>
      <c r="F32" s="21" t="n"/>
      <c r="G32" s="23" t="n"/>
      <c r="H32" s="21" t="n"/>
      <c r="I32" s="22" t="n"/>
      <c r="J32" s="21" t="n"/>
      <c r="K32" s="23" t="n"/>
      <c r="L32" s="22" t="n"/>
      <c r="M32" s="21" t="n"/>
    </row>
    <row r="33" ht="16.5" customHeight="1">
      <c r="A33" s="22" t="inlineStr">
        <is>
          <t>D-031</t>
        </is>
      </c>
      <c r="B33" s="22" t="n"/>
      <c r="C33" s="21" t="n"/>
      <c r="D33" s="21" t="n"/>
      <c r="E33" s="22" t="n"/>
      <c r="F33" s="21" t="n"/>
      <c r="G33" s="23" t="n"/>
      <c r="H33" s="21" t="n"/>
      <c r="I33" s="22" t="n"/>
      <c r="J33" s="21" t="n"/>
      <c r="K33" s="23" t="n"/>
      <c r="L33" s="22" t="n"/>
      <c r="M33" s="21" t="n"/>
    </row>
    <row r="34" ht="16.5" customHeight="1">
      <c r="A34" s="22" t="inlineStr">
        <is>
          <t>D-032</t>
        </is>
      </c>
      <c r="B34" s="22" t="n"/>
      <c r="C34" s="21" t="n"/>
      <c r="D34" s="21" t="n"/>
      <c r="E34" s="22" t="n"/>
      <c r="F34" s="21" t="n"/>
      <c r="G34" s="23" t="n"/>
      <c r="H34" s="21" t="n"/>
      <c r="I34" s="22" t="n"/>
      <c r="J34" s="21" t="n"/>
      <c r="K34" s="23" t="n"/>
      <c r="L34" s="22" t="n"/>
      <c r="M34" s="21" t="n"/>
    </row>
    <row r="35" ht="16.5" customHeight="1">
      <c r="A35" s="22" t="inlineStr">
        <is>
          <t>D-033</t>
        </is>
      </c>
      <c r="B35" s="22" t="n"/>
      <c r="C35" s="21" t="n"/>
      <c r="D35" s="21" t="n"/>
      <c r="E35" s="22" t="n"/>
      <c r="F35" s="21" t="n"/>
      <c r="G35" s="23" t="n"/>
      <c r="H35" s="21" t="n"/>
      <c r="I35" s="22" t="n"/>
      <c r="J35" s="21" t="n"/>
      <c r="K35" s="23" t="n"/>
      <c r="L35" s="22" t="n"/>
      <c r="M35" s="21" t="n"/>
    </row>
    <row r="36" ht="16.5" customHeight="1">
      <c r="A36" s="22" t="inlineStr">
        <is>
          <t>D-034</t>
        </is>
      </c>
      <c r="B36" s="22" t="n"/>
      <c r="C36" s="21" t="n"/>
      <c r="D36" s="21" t="n"/>
      <c r="E36" s="22" t="n"/>
      <c r="F36" s="21" t="n"/>
      <c r="G36" s="23" t="n"/>
      <c r="H36" s="21" t="n"/>
      <c r="I36" s="22" t="n"/>
      <c r="J36" s="21" t="n"/>
      <c r="K36" s="23" t="n"/>
      <c r="L36" s="22" t="n"/>
      <c r="M36" s="21" t="n"/>
    </row>
    <row r="37" ht="16.5" customHeight="1">
      <c r="A37" s="22" t="inlineStr">
        <is>
          <t>D-035</t>
        </is>
      </c>
      <c r="B37" s="22" t="n"/>
      <c r="C37" s="21" t="n"/>
      <c r="D37" s="21" t="n"/>
      <c r="E37" s="22" t="n"/>
      <c r="F37" s="21" t="n"/>
      <c r="G37" s="23" t="n"/>
      <c r="H37" s="21" t="n"/>
      <c r="I37" s="22" t="n"/>
      <c r="J37" s="21" t="n"/>
      <c r="K37" s="23" t="n"/>
      <c r="L37" s="22" t="n"/>
      <c r="M37" s="21" t="n"/>
    </row>
    <row r="38" ht="16.5" customHeight="1">
      <c r="A38" s="22" t="inlineStr">
        <is>
          <t>D-036</t>
        </is>
      </c>
      <c r="B38" s="22" t="n"/>
      <c r="C38" s="21" t="n"/>
      <c r="D38" s="21" t="n"/>
      <c r="E38" s="22" t="n"/>
      <c r="F38" s="21" t="n"/>
      <c r="G38" s="23" t="n"/>
      <c r="H38" s="21" t="n"/>
      <c r="I38" s="22" t="n"/>
      <c r="J38" s="21" t="n"/>
      <c r="K38" s="23" t="n"/>
      <c r="L38" s="22" t="n"/>
      <c r="M38" s="21" t="n"/>
    </row>
    <row r="39" ht="16.5" customHeight="1">
      <c r="A39" s="22" t="inlineStr">
        <is>
          <t>D-037</t>
        </is>
      </c>
      <c r="B39" s="22" t="n"/>
      <c r="C39" s="21" t="n"/>
      <c r="D39" s="21" t="n"/>
      <c r="E39" s="22" t="n"/>
      <c r="F39" s="21" t="n"/>
      <c r="G39" s="23" t="n"/>
      <c r="H39" s="21" t="n"/>
      <c r="I39" s="22" t="n"/>
      <c r="J39" s="21" t="n"/>
      <c r="K39" s="23" t="n"/>
      <c r="L39" s="22" t="n"/>
      <c r="M39" s="21" t="n"/>
    </row>
    <row r="40" ht="16.5" customHeight="1">
      <c r="A40" s="22" t="inlineStr">
        <is>
          <t>D-038</t>
        </is>
      </c>
      <c r="B40" s="22" t="n"/>
      <c r="C40" s="21" t="n"/>
      <c r="D40" s="21" t="n"/>
      <c r="E40" s="22" t="n"/>
      <c r="F40" s="21" t="n"/>
      <c r="G40" s="23" t="n"/>
      <c r="H40" s="21" t="n"/>
      <c r="I40" s="22" t="n"/>
      <c r="J40" s="21" t="n"/>
      <c r="K40" s="23" t="n"/>
      <c r="L40" s="22" t="n"/>
      <c r="M40" s="21" t="n"/>
    </row>
    <row r="41" ht="16.5" customHeight="1">
      <c r="A41" s="22" t="inlineStr">
        <is>
          <t>D-039</t>
        </is>
      </c>
      <c r="B41" s="22" t="n"/>
      <c r="C41" s="21" t="n"/>
      <c r="D41" s="21" t="n"/>
      <c r="E41" s="22" t="n"/>
      <c r="F41" s="21" t="n"/>
      <c r="G41" s="23" t="n"/>
      <c r="H41" s="21" t="n"/>
      <c r="I41" s="22" t="n"/>
      <c r="J41" s="21" t="n"/>
      <c r="K41" s="23" t="n"/>
      <c r="L41" s="22" t="n"/>
      <c r="M41" s="21" t="n"/>
    </row>
    <row r="42" ht="16.5" customHeight="1">
      <c r="A42" s="22" t="inlineStr">
        <is>
          <t>D-040</t>
        </is>
      </c>
      <c r="B42" s="22" t="n"/>
      <c r="C42" s="21" t="n"/>
      <c r="D42" s="21" t="n"/>
      <c r="E42" s="22" t="n"/>
      <c r="F42" s="21" t="n"/>
      <c r="G42" s="23" t="n"/>
      <c r="H42" s="21" t="n"/>
      <c r="I42" s="22" t="n"/>
      <c r="J42" s="21" t="n"/>
      <c r="K42" s="23" t="n"/>
      <c r="L42" s="22" t="n"/>
      <c r="M42" s="21" t="n"/>
    </row>
    <row r="44" ht="34" customHeight="1">
      <c r="A44" s="48"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9" t="n"/>
      <c r="C44" s="9" t="n"/>
      <c r="D44" s="9" t="n"/>
      <c r="E44" s="9" t="n"/>
      <c r="F44" s="9" t="n"/>
      <c r="G44" s="9" t="n"/>
      <c r="H44" s="9" t="n"/>
      <c r="I44" s="9" t="n"/>
      <c r="J44" s="9" t="n"/>
      <c r="K44" s="9" t="n"/>
      <c r="L44" s="9" t="n"/>
      <c r="M44" s="9"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2026-09-07T00:00:00Z</dcterms:modified>
  <cp:lastModifiedBy>build_uat_test_cases.py</cp:lastModifiedBy>
</cp:coreProperties>
</file>