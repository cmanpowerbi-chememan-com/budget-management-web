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Info &amp; Instructions" sheetId="1" state="visible" r:id="rId1"/>
    <sheet xmlns:r="http://schemas.openxmlformats.org/officeDocument/2006/relationships" name="2. Test Cases" sheetId="2" state="visible" r:id="rId2"/>
    <sheet xmlns:r="http://schemas.openxmlformats.org/officeDocument/2006/relationships" name="3. Summary" sheetId="3" state="visible" r:id="rId3"/>
    <sheet xmlns:r="http://schemas.openxmlformats.org/officeDocument/2006/relationships" name="4. Defects" sheetId="4" state="visible" r:id="rId4"/>
    <sheet xmlns:r="http://schemas.openxmlformats.org/officeDocument/2006/relationships" name="5. AI Pre-Run" sheetId="5" state="visible" r:id="rId5"/>
  </sheets>
  <definedNames>
    <definedName name="_xlnm._FilterDatabase" localSheetId="1" hidden="1">'2. Test Cases'!$A$2:$T$56</definedName>
    <definedName name="_xlnm._FilterDatabase" localSheetId="3" hidden="1">'4. Defects'!$A$2:$M$42</definedName>
  </definedNames>
  <calcPr calcId="124519" fullCalcOnLoad="1"/>
</workbook>
</file>

<file path=xl/styles.xml><?xml version="1.0" encoding="utf-8"?>
<styleSheet xmlns="http://schemas.openxmlformats.org/spreadsheetml/2006/main">
  <numFmts count="2">
    <numFmt numFmtId="164" formatCode="dd/mm/yyyy"/>
    <numFmt numFmtId="165" formatCode="0.0%"/>
  </numFmts>
  <fonts count="21">
    <font>
      <name val="Calibri"/>
      <family val="2"/>
      <color theme="1"/>
      <sz val="11"/>
      <scheme val="minor"/>
    </font>
    <font>
      <name val="Aptos"/>
      <b val="1"/>
      <color rgb="FFFFFFFF"/>
      <sz val="12"/>
    </font>
    <font>
      <name val="Aptos"/>
      <color rgb="FFFFFFFF"/>
      <sz val="8"/>
    </font>
    <font>
      <name val="Aptos"/>
      <b val="1"/>
      <color rgb="FFFFFFFF"/>
      <sz val="11"/>
    </font>
    <font>
      <name val="Aptos"/>
      <b val="1"/>
      <color rgb="FF000000"/>
      <sz val="10"/>
    </font>
    <font>
      <name val="Aptos"/>
      <color rgb="FF000000"/>
      <sz val="10"/>
    </font>
    <font>
      <name val="Aptos"/>
      <color rgb="FF7030A0"/>
      <sz val="10"/>
    </font>
    <font>
      <name val="Aptos"/>
      <color rgb="FF808080"/>
      <sz val="9"/>
    </font>
    <font>
      <name val="Arial"/>
      <b val="1"/>
      <color rgb="FFFFFFFF"/>
      <sz val="13"/>
    </font>
    <font>
      <name val="Arial"/>
      <b val="1"/>
      <color rgb="FFFFFFFF"/>
      <sz val="10"/>
    </font>
    <font>
      <name val="Arial"/>
      <color rgb="FF000000"/>
      <sz val="9"/>
    </font>
    <font>
      <name val="Arial"/>
      <color rgb="FF7030A0"/>
      <sz val="9"/>
    </font>
    <font>
      <name val="Arial"/>
      <b val="1"/>
      <color rgb="FFFFFFFF"/>
      <sz val="15"/>
    </font>
    <font>
      <name val="Arial"/>
      <color rgb="FFFFFFFF"/>
      <sz val="10"/>
    </font>
    <font>
      <name val="Arial"/>
      <b val="1"/>
      <color rgb="FF000000"/>
      <sz val="10"/>
    </font>
    <font>
      <name val="Arial"/>
      <b val="1"/>
      <color rgb="FF000000"/>
      <sz val="11"/>
    </font>
    <font>
      <name val="Arial"/>
      <color rgb="FF000000"/>
      <sz val="10"/>
    </font>
    <font>
      <name val="Arial"/>
      <b val="1"/>
      <color rgb="FFFFFFFF"/>
      <sz val="11"/>
    </font>
    <font>
      <name val="Arial"/>
      <color rgb="FF808080"/>
      <sz val="9"/>
    </font>
    <font>
      <b val="1"/>
      <sz val="12"/>
    </font>
    <font>
      <b val="1"/>
    </font>
  </fonts>
  <fills count="11">
    <fill>
      <patternFill/>
    </fill>
    <fill>
      <patternFill patternType="gray125"/>
    </fill>
    <fill>
      <patternFill patternType="solid">
        <fgColor rgb="FF1F3864"/>
      </patternFill>
    </fill>
    <fill>
      <patternFill patternType="solid">
        <fgColor rgb="FF2E5496"/>
      </patternFill>
    </fill>
    <fill>
      <patternFill patternType="solid">
        <fgColor rgb="FFD9E1F2"/>
      </patternFill>
    </fill>
    <fill>
      <patternFill patternType="solid">
        <fgColor rgb="FFFFFFFF"/>
      </patternFill>
    </fill>
    <fill>
      <patternFill patternType="solid">
        <fgColor rgb="FFFFF2CC"/>
      </patternFill>
    </fill>
    <fill>
      <patternFill patternType="solid">
        <fgColor rgb="FFC6EFCE"/>
      </patternFill>
    </fill>
    <fill>
      <patternFill patternType="solid">
        <fgColor rgb="FFFFC7CE"/>
      </patternFill>
    </fill>
    <fill>
      <patternFill patternType="solid">
        <fgColor rgb="FFF2F2F2"/>
      </patternFill>
    </fill>
    <fill>
      <patternFill patternType="solid">
        <fgColor rgb="FFDDEBF7"/>
      </patternFill>
    </fill>
  </fills>
  <borders count="8">
    <border>
      <left/>
      <right/>
      <top/>
      <bottom/>
      <diagonal/>
    </border>
    <border>
      <left style="thin">
        <color rgb="FFBFBFBF"/>
      </left>
      <top style="thin">
        <color rgb="FFBFBFBF"/>
      </top>
      <bottom style="thin">
        <color rgb="FFBFBFBF"/>
      </bottom>
    </border>
    <border>
      <left style="thin">
        <color rgb="FFBFBFBF"/>
      </left>
      <right style="thin">
        <color rgb="FFBFBFBF"/>
      </right>
      <top style="thin">
        <color rgb="FFBFBFBF"/>
      </top>
      <bottom style="thin">
        <color rgb="FFBFBFBF"/>
      </bottom>
    </border>
    <border>
      <left/>
      <right/>
      <top style="thin">
        <color rgb="FFBFBFBF"/>
      </top>
      <bottom/>
      <diagonal/>
    </border>
    <border>
      <left/>
      <right/>
      <top style="thin">
        <color rgb="FFBFBFBF"/>
      </top>
      <bottom style="thin">
        <color rgb="FFBFBFBF"/>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border>
  </borders>
  <cellStyleXfs count="1">
    <xf numFmtId="0" fontId="0" fillId="0" borderId="0"/>
  </cellStyleXfs>
  <cellXfs count="68">
    <xf numFmtId="0" fontId="0" fillId="0" borderId="0" pivotButton="0" quotePrefix="0" xfId="0"/>
    <xf numFmtId="0" fontId="1" fillId="2" borderId="1" applyAlignment="1" pivotButton="0" quotePrefix="0" xfId="0">
      <alignment horizontal="left" vertical="center" wrapText="1"/>
    </xf>
    <xf numFmtId="0" fontId="0" fillId="2" borderId="1" pivotButton="0" quotePrefix="0" xfId="0"/>
    <xf numFmtId="0" fontId="2" fillId="3" borderId="1" applyAlignment="1" pivotButton="0" quotePrefix="0" xfId="0">
      <alignment horizontal="left" vertical="center" wrapText="1"/>
    </xf>
    <xf numFmtId="0" fontId="0" fillId="3" borderId="1" pivotButton="0" quotePrefix="0" xfId="0"/>
    <xf numFmtId="0" fontId="3" fillId="3" borderId="1" applyAlignment="1" pivotButton="0" quotePrefix="0" xfId="0">
      <alignment horizontal="left" vertical="center" wrapText="1"/>
    </xf>
    <xf numFmtId="0" fontId="4" fillId="4" borderId="2" applyAlignment="1" pivotButton="0" quotePrefix="0" xfId="0">
      <alignment horizontal="left" vertical="top" wrapText="1"/>
    </xf>
    <xf numFmtId="0" fontId="5" fillId="5" borderId="2" applyAlignment="1" pivotButton="0" quotePrefix="0" xfId="0">
      <alignment horizontal="left" vertical="top" wrapText="1"/>
    </xf>
    <xf numFmtId="0" fontId="6" fillId="5" borderId="1" applyAlignment="1" pivotButton="0" quotePrefix="0" xfId="0">
      <alignment horizontal="left" vertical="top" wrapText="1"/>
    </xf>
    <xf numFmtId="0" fontId="0" fillId="5" borderId="1" pivotButton="0" quotePrefix="0" xfId="0"/>
    <xf numFmtId="0" fontId="5" fillId="6" borderId="2" applyAlignment="1" pivotButton="0" quotePrefix="0" xfId="0">
      <alignment horizontal="left" vertical="top" wrapText="1"/>
    </xf>
    <xf numFmtId="0" fontId="5" fillId="7" borderId="2" applyAlignment="1" pivotButton="0" quotePrefix="0" xfId="0">
      <alignment horizontal="left" vertical="top" wrapText="1"/>
    </xf>
    <xf numFmtId="0" fontId="5" fillId="8" borderId="2" applyAlignment="1" pivotButton="0" quotePrefix="0" xfId="0">
      <alignment horizontal="left" vertical="top" wrapText="1"/>
    </xf>
    <xf numFmtId="0" fontId="5" fillId="9" borderId="2" applyAlignment="1" pivotButton="0" quotePrefix="0" xfId="0">
      <alignment horizontal="left" vertical="top" wrapText="1"/>
    </xf>
    <xf numFmtId="0" fontId="6" fillId="5" borderId="2" applyAlignment="1" pivotButton="0" quotePrefix="0" xfId="0">
      <alignment horizontal="left" vertical="top" wrapText="1"/>
    </xf>
    <xf numFmtId="0" fontId="7" fillId="5" borderId="1" applyAlignment="1" pivotButton="0" quotePrefix="0" xfId="0">
      <alignment horizontal="left" vertical="top" wrapText="1"/>
    </xf>
    <xf numFmtId="0" fontId="8" fillId="2" borderId="1" applyAlignment="1" pivotButton="0" quotePrefix="0" xfId="0">
      <alignment horizontal="left" vertical="center" wrapText="1"/>
    </xf>
    <xf numFmtId="0" fontId="9" fillId="3" borderId="2" applyAlignment="1" pivotButton="0" quotePrefix="0" xfId="0">
      <alignment horizontal="center" vertical="center" wrapText="1"/>
    </xf>
    <xf numFmtId="0" fontId="10" fillId="5" borderId="2" applyAlignment="1" pivotButton="0" quotePrefix="0" xfId="0">
      <alignment horizontal="center" vertical="top" wrapText="1"/>
    </xf>
    <xf numFmtId="0" fontId="11" fillId="5" borderId="2" applyAlignment="1" pivotButton="0" quotePrefix="0" xfId="0">
      <alignment horizontal="center" vertical="top" wrapText="1"/>
    </xf>
    <xf numFmtId="0" fontId="11" fillId="5" borderId="2" applyAlignment="1" pivotButton="0" quotePrefix="0" xfId="0">
      <alignment horizontal="left" vertical="top" wrapText="1"/>
    </xf>
    <xf numFmtId="0" fontId="10" fillId="6" borderId="2" applyAlignment="1" pivotButton="0" quotePrefix="0" xfId="0">
      <alignment horizontal="left" vertical="top" wrapText="1"/>
    </xf>
    <xf numFmtId="0" fontId="10" fillId="6" borderId="2" applyAlignment="1" pivotButton="0" quotePrefix="0" xfId="0">
      <alignment horizontal="center" vertical="top" wrapText="1"/>
    </xf>
    <xf numFmtId="0" fontId="11" fillId="6" borderId="2" applyAlignment="1" pivotButton="0" quotePrefix="0" xfId="0">
      <alignment horizontal="left" vertical="top" wrapText="1"/>
    </xf>
    <xf numFmtId="164" fontId="10" fillId="6" borderId="2" applyAlignment="1" pivotButton="0" quotePrefix="0" xfId="0">
      <alignment horizontal="center" vertical="top" wrapText="1"/>
    </xf>
    <xf numFmtId="0" fontId="12" fillId="2" borderId="1" applyAlignment="1" pivotButton="0" quotePrefix="0" xfId="0">
      <alignment horizontal="left" vertical="center" wrapText="1"/>
    </xf>
    <xf numFmtId="0" fontId="13" fillId="3" borderId="1" applyAlignment="1" pivotButton="0" quotePrefix="0" xfId="0">
      <alignment horizontal="left" vertical="center" wrapText="1"/>
    </xf>
    <xf numFmtId="0" fontId="9" fillId="3" borderId="2" applyAlignment="1" pivotButton="0" quotePrefix="0" xfId="0">
      <alignment horizontal="left" vertical="top" wrapText="1"/>
    </xf>
    <xf numFmtId="0" fontId="9" fillId="3" borderId="2" applyAlignment="1" pivotButton="0" quotePrefix="0" xfId="0">
      <alignment horizontal="center" vertical="top" wrapText="1"/>
    </xf>
    <xf numFmtId="0" fontId="14" fillId="5" borderId="2" applyAlignment="1" pivotButton="0" quotePrefix="0" xfId="0">
      <alignment horizontal="left" vertical="top" wrapText="1"/>
    </xf>
    <xf numFmtId="0" fontId="15" fillId="5" borderId="2" applyAlignment="1" pivotButton="0" quotePrefix="0" xfId="0">
      <alignment horizontal="center" vertical="top" wrapText="1"/>
    </xf>
    <xf numFmtId="0" fontId="16" fillId="7" borderId="2" applyAlignment="1" pivotButton="0" quotePrefix="0" xfId="0">
      <alignment horizontal="left" vertical="top" wrapText="1"/>
    </xf>
    <xf numFmtId="0" fontId="15" fillId="7" borderId="2" applyAlignment="1" pivotButton="0" quotePrefix="0" xfId="0">
      <alignment horizontal="center" vertical="top" wrapText="1"/>
    </xf>
    <xf numFmtId="0" fontId="16" fillId="8" borderId="2" applyAlignment="1" pivotButton="0" quotePrefix="0" xfId="0">
      <alignment horizontal="left" vertical="top" wrapText="1"/>
    </xf>
    <xf numFmtId="0" fontId="15" fillId="8" borderId="2" applyAlignment="1" pivotButton="0" quotePrefix="0" xfId="0">
      <alignment horizontal="center" vertical="top" wrapText="1"/>
    </xf>
    <xf numFmtId="0" fontId="16" fillId="6" borderId="2" applyAlignment="1" pivotButton="0" quotePrefix="0" xfId="0">
      <alignment horizontal="left" vertical="top" wrapText="1"/>
    </xf>
    <xf numFmtId="0" fontId="15" fillId="6" borderId="2" applyAlignment="1" pivotButton="0" quotePrefix="0" xfId="0">
      <alignment horizontal="center" vertical="top" wrapText="1"/>
    </xf>
    <xf numFmtId="0" fontId="16" fillId="9" borderId="2" applyAlignment="1" pivotButton="0" quotePrefix="0" xfId="0">
      <alignment horizontal="left" vertical="top" wrapText="1"/>
    </xf>
    <xf numFmtId="0" fontId="15" fillId="9" borderId="2" applyAlignment="1" pivotButton="0" quotePrefix="0" xfId="0">
      <alignment horizontal="center" vertical="top" wrapText="1"/>
    </xf>
    <xf numFmtId="0" fontId="14" fillId="4" borderId="2" applyAlignment="1" pivotButton="0" quotePrefix="0" xfId="0">
      <alignment horizontal="left" vertical="top" wrapText="1"/>
    </xf>
    <xf numFmtId="165" fontId="15" fillId="4" borderId="2" applyAlignment="1" pivotButton="0" quotePrefix="0" xfId="0">
      <alignment horizontal="center" vertical="top" wrapText="1"/>
    </xf>
    <xf numFmtId="0" fontId="15" fillId="4" borderId="2" applyAlignment="1" pivotButton="0" quotePrefix="0" xfId="0">
      <alignment horizontal="center" vertical="top" wrapText="1"/>
    </xf>
    <xf numFmtId="0" fontId="17" fillId="3" borderId="1" applyAlignment="1" pivotButton="0" quotePrefix="0" xfId="0">
      <alignment horizontal="left" vertical="center" wrapText="1"/>
    </xf>
    <xf numFmtId="0" fontId="10" fillId="5" borderId="2" applyAlignment="1" pivotButton="0" quotePrefix="0" xfId="0">
      <alignment horizontal="left" vertical="top" wrapText="1"/>
    </xf>
    <xf numFmtId="0" fontId="16" fillId="5" borderId="2" applyAlignment="1" pivotButton="0" quotePrefix="0" xfId="0">
      <alignment horizontal="center" vertical="top" wrapText="1"/>
    </xf>
    <xf numFmtId="0" fontId="16" fillId="7" borderId="2" applyAlignment="1" pivotButton="0" quotePrefix="0" xfId="0">
      <alignment horizontal="center" vertical="top" wrapText="1"/>
    </xf>
    <xf numFmtId="0" fontId="16" fillId="8" borderId="2" applyAlignment="1" pivotButton="0" quotePrefix="0" xfId="0">
      <alignment horizontal="center" vertical="top" wrapText="1"/>
    </xf>
    <xf numFmtId="0" fontId="14" fillId="4" borderId="2" applyAlignment="1" pivotButton="0" quotePrefix="0" xfId="0">
      <alignment horizontal="center" vertical="top" wrapText="1"/>
    </xf>
    <xf numFmtId="0" fontId="18" fillId="5" borderId="1" applyAlignment="1" pivotButton="0" quotePrefix="0" xfId="0">
      <alignment horizontal="left" vertical="center" wrapText="1"/>
    </xf>
    <xf numFmtId="0" fontId="11" fillId="5" borderId="1" applyAlignment="1" pivotButton="0" quotePrefix="0" xfId="0">
      <alignment horizontal="left" vertical="top" wrapText="1"/>
    </xf>
    <xf numFmtId="0" fontId="0" fillId="0" borderId="4" pivotButton="0" quotePrefix="0" xfId="0"/>
    <xf numFmtId="0" fontId="10" fillId="6" borderId="2" applyAlignment="1" pivotButton="0" quotePrefix="0" xfId="0">
      <alignment vertical="top" wrapText="1"/>
    </xf>
    <xf numFmtId="0" fontId="0" fillId="0" borderId="6" pivotButton="0" quotePrefix="0" xfId="0"/>
    <xf numFmtId="0" fontId="19" fillId="0" borderId="0" pivotButton="0" quotePrefix="0" xfId="0"/>
    <xf numFmtId="0" fontId="20" fillId="10" borderId="0" pivotButton="0" quotePrefix="0" xfId="0"/>
    <xf numFmtId="0" fontId="0" fillId="0" borderId="0" applyAlignment="1" pivotButton="0" quotePrefix="0" xfId="0">
      <alignment vertical="top" wrapText="1"/>
    </xf>
    <xf numFmtId="0" fontId="20" fillId="0" borderId="0" pivotButton="0" quotePrefix="0" xfId="0"/>
    <xf numFmtId="0" fontId="1" fillId="2" borderId="7" applyAlignment="1" pivotButton="0" quotePrefix="0" xfId="0">
      <alignment horizontal="left" vertical="center" wrapText="1"/>
    </xf>
    <xf numFmtId="0" fontId="2" fillId="3" borderId="7" applyAlignment="1" pivotButton="0" quotePrefix="0" xfId="0">
      <alignment horizontal="left" vertical="center" wrapText="1"/>
    </xf>
    <xf numFmtId="0" fontId="3" fillId="3" borderId="7" applyAlignment="1" pivotButton="0" quotePrefix="0" xfId="0">
      <alignment horizontal="left" vertical="center" wrapText="1"/>
    </xf>
    <xf numFmtId="0" fontId="6" fillId="5" borderId="7" applyAlignment="1" pivotButton="0" quotePrefix="0" xfId="0">
      <alignment horizontal="left" vertical="top" wrapText="1"/>
    </xf>
    <xf numFmtId="0" fontId="7" fillId="5" borderId="7" applyAlignment="1" pivotButton="0" quotePrefix="0" xfId="0">
      <alignment horizontal="left" vertical="top" wrapText="1"/>
    </xf>
    <xf numFmtId="0" fontId="8" fillId="2" borderId="7" applyAlignment="1" pivotButton="0" quotePrefix="0" xfId="0">
      <alignment horizontal="left" vertical="center" wrapText="1"/>
    </xf>
    <xf numFmtId="0" fontId="12" fillId="2" borderId="7" applyAlignment="1" pivotButton="0" quotePrefix="0" xfId="0">
      <alignment horizontal="left" vertical="center" wrapText="1"/>
    </xf>
    <xf numFmtId="0" fontId="13" fillId="3" borderId="7" applyAlignment="1" pivotButton="0" quotePrefix="0" xfId="0">
      <alignment horizontal="left" vertical="center" wrapText="1"/>
    </xf>
    <xf numFmtId="0" fontId="17" fillId="3" borderId="7" applyAlignment="1" pivotButton="0" quotePrefix="0" xfId="0">
      <alignment horizontal="left" vertical="center" wrapText="1"/>
    </xf>
    <xf numFmtId="0" fontId="18" fillId="5" borderId="7" applyAlignment="1" pivotButton="0" quotePrefix="0" xfId="0">
      <alignment horizontal="left" vertical="center" wrapText="1"/>
    </xf>
    <xf numFmtId="0" fontId="11" fillId="5" borderId="7"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8"/>
  <sheetViews>
    <sheetView showGridLines="0" workbookViewId="0">
      <selection activeCell="A1" sqref="A1"/>
    </sheetView>
  </sheetViews>
  <sheetFormatPr baseColWidth="8" defaultRowHeight="15"/>
  <cols>
    <col width="34" customWidth="1" min="1" max="1"/>
    <col width="92" customWidth="1" min="2" max="2"/>
    <col width="3" customWidth="1" min="3" max="3"/>
  </cols>
  <sheetData>
    <row r="1" ht="21" customHeight="1">
      <c r="A1" s="57" t="inlineStr">
        <is>
          <t>Budget Web Application — UAT Test Cases</t>
        </is>
      </c>
      <c r="B1" s="50" t="n"/>
    </row>
    <row r="2" ht="13.5" customHeight="1">
      <c r="A2" s="58" t="inlineStr">
        <is>
          <t>Chememan PCL (CMAN)  |  User Acceptance Testing (UAT)  |  Data &amp; Analytics  |  Round 1  |  FY2027</t>
        </is>
      </c>
      <c r="B2" s="50" t="n"/>
    </row>
    <row r="3" ht="6" customHeight="1"/>
    <row r="4" ht="19.5" customHeight="1">
      <c r="A4" s="59" t="inlineStr">
        <is>
          <t>Project Information</t>
        </is>
      </c>
      <c r="B4" s="50" t="n"/>
    </row>
    <row r="5" ht="16.5" customHeight="1">
      <c r="A5" s="6" t="inlineStr">
        <is>
          <t>Application</t>
        </is>
      </c>
      <c r="B5" s="7" t="inlineStr">
        <is>
          <t>Budget Web Application</t>
        </is>
      </c>
    </row>
    <row r="6" ht="16.5" customHeight="1">
      <c r="A6" s="6" t="inlineStr">
        <is>
          <t>Environment</t>
        </is>
      </c>
      <c r="B6" s="7" t="inlineStr">
        <is>
          <t>https://cman-budget-web-prd.kindstone-f34836dd.southeastasia.azurecontainerapps.io/</t>
        </is>
      </c>
    </row>
    <row r="7" ht="16.5" customHeight="1">
      <c r="A7" s="6" t="inlineStr">
        <is>
          <t>Test Phase</t>
        </is>
      </c>
      <c r="B7" s="7" t="inlineStr">
        <is>
          <t>User Acceptance Test (UAT)</t>
        </is>
      </c>
    </row>
    <row r="8" ht="16.5" customHeight="1">
      <c r="A8" s="6" t="inlineStr">
        <is>
          <t>Departments under test</t>
        </is>
      </c>
      <c r="B8" s="7" t="inlineStr">
        <is>
          <t>Data &amp; Analytic ; Solution Delivery</t>
        </is>
      </c>
    </row>
    <row r="9" ht="16.5" customHeight="1">
      <c r="A9" s="6" t="inlineStr">
        <is>
          <t>Fiscal year under test</t>
        </is>
      </c>
      <c r="B9" s="7" t="inlineStr">
        <is>
          <t>FY2027 — หน้าจอแสดงเป็น `Year 2026` (ปีวางแผน) · เป็นปีเดียวที่ระบบเปิดรับข้อมูล</t>
        </is>
      </c>
    </row>
    <row r="10" ht="30" customHeight="1">
      <c r="A10" s="6" t="inlineStr">
        <is>
          <t>Role — Filler (ผู้กรอกงบ) · ทั้งสองฝ่าย</t>
        </is>
      </c>
      <c r="B10" s="7" t="inlineStr">
        <is>
          <t>Pornthip (pornthipp@chememan.com)</t>
        </is>
      </c>
    </row>
    <row r="11" ht="30" customHeight="1">
      <c r="A11" s="6" t="inlineStr">
        <is>
          <t>Role — Approver 1 (ผู้อนุมัติขั้นที่ 1) · ทั้งสองฝ่าย</t>
        </is>
      </c>
      <c r="B11" s="7" t="inlineStr">
        <is>
          <t>Laddawan (laddawank@chememan.com)</t>
        </is>
      </c>
    </row>
    <row r="12" ht="30" customHeight="1">
      <c r="A12" s="6" t="inlineStr">
        <is>
          <t>Role — Approver 2 (ผู้อนุมัติขั้นที่ 2)</t>
        </is>
      </c>
      <c r="B12" s="7" t="inlineStr">
        <is>
          <t>Nipaporn (nipapornt@chememan.com)</t>
        </is>
      </c>
    </row>
    <row r="13" ht="30" customHeight="1">
      <c r="A13" s="6" t="inlineStr">
        <is>
          <t>Role — Approver 3 (ผู้อนุมัติขั้นที่ 3)</t>
        </is>
      </c>
      <c r="B13" s="7" t="inlineStr">
        <is>
          <t>Waraporn (warapornt@chememan.com)</t>
        </is>
      </c>
    </row>
    <row r="14" ht="200" customHeight="1">
      <c r="A14" s="6" t="inlineStr">
        <is>
          <t>Role — เจ้าของฝ่าย Solution Delivery ตัวจริง (ไม่ได้เป็นผู้ทดสอบเคสใดใน 54 เคส)</t>
        </is>
      </c>
      <c r="B14" s="7" t="inlineStr">
        <is>
          <t>Suchanya (suchanyay@chememan.com) — เธอเป็น “ผู้กรอกงบ (Filler)” ตัวจริงของฝ่าย Solution Delivery ในไฟล์ master `cc dept.xlsx` (10IT012000) และยังเป็นอยู่ · รอบนี้ขอ “ยืมฝ่าย” ของเธอมาทดสอบ โดยเพิ่ม Pornthip เข้าไปเป็นผู้กรอกอีกคน ไม่ได้ถอดสิทธิ์ของ Suchanya ออก
รอบนี้ฝ่าย Solution Delivery ถูกส่งเข้าอนุมัติจริง (เคส UAT-36) และอนุมัติถึงขั้นที่ 1 ก่อนถูกตีกลับคืน (เคส UAT-43) ระหว่างนั้น **Suchanya แก้ไขฝ่ายตัวเองไม่ได้ชั่วคราว — ต้องแจ้งเธอล่วงหน้าก่อนเริ่มรอบ**
หน้าที่ของเธอในรอบนี้คือ **ยืนยันว่างานของเธอไม่เสียหาย** — ทำ **หลังจบเคส UAT-43** (ตอนที่ฝ่ายถูกตีกลับคืน สถานะ `Rejected` ให้แก้ไขได้แล้ว) ล็อกอินตามปกติ เลือกฝ่าย Solution Delivery ปี Year 2026 แล้วยืนยัน 3 ข้อ: (1) ยังเห็นพื้นที่อัปโหลดไฟล์และปุ่มลบไฟล์ตามเดิม (2) กลับมากรอกยอดในตารางได้แล้ว (3) ตัวเลขเดิมของฝ่ายไม่เปลี่ยนไปเอง — แล้วแจ้งผลสั้น ๆ กลับให้ Test Lead (ไม่มีแถวหรือช่อง Status ของเธอเองในแท็บ “2. Test Cases”)
ห้ามใช้บัญชีของเธอทดสอบเคส UAT-31 เพราะเคสนั้นต้องการคนที่ “เห็นฝ่ายได้แต่ไม่ใช่ผู้กรอก” ส่วน Suchanya เป็นผู้กรอกจริง จึงต้องเห็นปุ่มอัปโหลดและปุ่มลบ ซึ่งถูกต้องแล้ว</t>
        </is>
      </c>
    </row>
    <row r="15" ht="16.5" customHeight="1">
      <c r="A15" s="6" t="inlineStr">
        <is>
          <t>Test Lead</t>
        </is>
      </c>
      <c r="B15" s="7" t="inlineStr">
        <is>
          <t>Data and Analytics team</t>
        </is>
      </c>
    </row>
    <row r="16" ht="16.5" customHeight="1">
      <c r="A16" s="6" t="inlineStr">
        <is>
          <t>Test Cycle / Round</t>
        </is>
      </c>
      <c r="B16" s="7" t="inlineStr">
        <is>
          <t>UAT Round 1</t>
        </is>
      </c>
    </row>
    <row r="17" ht="16.5" customHeight="1">
      <c r="A17" s="6" t="inlineStr">
        <is>
          <t>Start Date</t>
        </is>
      </c>
      <c r="B17" s="7" t="inlineStr">
        <is>
          <t>08/09/2026</t>
        </is>
      </c>
    </row>
    <row r="18" ht="16.5" customHeight="1">
      <c r="A18" s="6" t="inlineStr">
        <is>
          <t>Target End Date</t>
        </is>
      </c>
      <c r="B18" s="7" t="inlineStr">
        <is>
          <t>13/09/2026</t>
        </is>
      </c>
    </row>
    <row r="19" ht="40.5" customHeight="1">
      <c r="A19" s="6" t="inlineStr">
        <is>
          <t>Total test cases</t>
        </is>
      </c>
      <c r="B19" s="7" t="inlineStr">
        <is>
          <t>54 เคส (UAT-01 ถึง UAT-54) · จัดกลุ่มเป็น 8 ระลอก (Wave) แต่ **ลำดับการทดสอบจริงให้ดูคอลัมน์ `ลำดับการรัน` 1 → 54** ไม่ใช่คอลัมน์ Wave · ข้อมูลจริงอยู่แถวที่ 3 ถึง 56 ของแท็บ “2. Test Cases”</t>
        </is>
      </c>
    </row>
    <row r="21" ht="19.5" customHeight="1">
      <c r="A21" s="59" t="inlineStr">
        <is>
          <t>ข้อควรระวังก่อนเริ่มทดสอบ</t>
        </is>
      </c>
      <c r="B21" s="50" t="n"/>
    </row>
    <row r="22" ht="30" customHeight="1">
      <c r="A22" s="60" t="inlineStr">
        <is>
          <t>ข้อ 1 — UAT รอบนี้รันบน **ระบบจริง (production)** ใช้ฐานข้อมูลจริง และส่งอีเมลจริงถึงเพื่อนร่วมงานจริง ไม่มีระบบทดลองแยกต่างหาก ทุกอย่างที่กรอก ส่ง อนุมัติ หรือลบ คือข้อมูลจริงของปีงบประมาณ 2027</t>
        </is>
      </c>
      <c r="B22" s="50" t="n"/>
    </row>
    <row r="23" ht="56" customHeight="1">
      <c r="A23" s="60" t="inlineStr">
        <is>
          <t>ข้อ 2 — สถานะ `Approved` **ย้อนกลับไม่ได้ในระบบ** ต้องแก้ที่ฐานข้อมูลเท่านั้น อย่ากด Approve ขั้นที่ 3 (เคส UAT-40) จนกว่าทุกเคสที่มีเลข `ลำดับการรัน` น้อยกว่า 52 จะเสร็จครบ — UAT-40 อยู่ที่ลำดับการรันที่ 52 และเป็นเคสสุดท้ายของสายอนุมัติฝ่ายนั้น ถ้ากดก่อน เคส UAT-41 · UAT-42 (ข้อ 5) · UAT-44 · UAT-47 · UAT-52 (ข้อ 1) จะทดสอบไม่ได้อีกเลยตลอดรอบ</t>
        </is>
      </c>
      <c r="B23" s="50" t="n"/>
    </row>
    <row r="24" ht="30" customHeight="1">
      <c r="A24" s="60" t="inlineStr">
        <is>
          <t>ข้อ 3 — อายุ session ระหว่าง UAT ตั้งไว้ที่ **1 ชั่วโมง** (ค่าจริงคือ 14 ชั่วโมง และจะคืนค่าเดิมหลังจบรอบ) ถ้าระบบให้ล็อกอินใหม่ระหว่างทดสอบ ถือว่าเป็นเรื่องปกติของรอบนี้</t>
        </is>
      </c>
      <c r="B24" s="50" t="n"/>
    </row>
    <row r="25" ht="30" customHeight="1">
      <c r="A25" s="60" t="inlineStr">
        <is>
          <t>ข้อ 4 — **KNOWN ISSUE ที่ไม่ต้องแจ้งเป็น defect:** กล่อง “หมดเวลาการเข้าใช้งาน” ยังเขียนว่า 14 ชั่วโมง ทั้งที่ตั้งไว้ 1 ชั่วโมง — ตัดสินแล้วว่ายอมรับได้ (jakkaritw 2026-09-06)</t>
        </is>
      </c>
      <c r="B25" s="50" t="n"/>
    </row>
    <row r="26" ht="56" customHeight="1">
      <c r="A26" s="60" t="inlineStr">
        <is>
          <t>ข้อ 5 — **เตรียมไฟล์แนบให้ฝ่าย Solution Delivery ไว้ก่อนเริ่มรอบ อย่างน้อย 1 ไฟล์** ในโฟลเดอร์ `เอกสาร ฝ่าย/Solution Delivery/2027/` (ให้ Pornthip อัปโหลดด้วยขั้นตอนเดียวกับเคส UAT-27 ซึ่งอัปโหลดให้ฝ่าย Data &amp; Analytic เท่านั้น ไม่มีเคสใดในรอบนี้อัปโหลดให้ฝ่าย Solution Delivery) — เคส UAT-31 ต้องมีไฟล์อยู่แล้วในโฟลเดอร์นี้ก่อนจึงจะทดสอบได้ ถ้าไม่เตรียมไว้ล่วงหน้า เคสนี้จะทำไม่ได้เมื่อถึงลำดับการรัน</t>
        </is>
      </c>
      <c r="B26" s="50" t="n"/>
    </row>
    <row r="27" ht="56" customHeight="1">
      <c r="A27" s="60" t="inlineStr">
        <is>
          <t>ข้อ 6 — **ฝ่าย Solution Delivery จะถูกล็อกชั่วคราวระหว่างรอบ (ตั้งแต่เคส UAT-36 ถึง UAT-43):** ทันทีที่ Pornthip กด Submit ฝ่ายนี้ (เคส UAT-36) คุณ Suchanya ผู้กรอกตัวจริงของฝ่าย Solution Delivery จะแก้ไขงบของฝ่ายตัวเองไม่ได้เลยจนกว่าจะถูกตีกลับ — **ต้องแจ้ง Suchanya ล่วงหน้าก่อนเริ่มรอบ** ว่าจะมีช่วงล็อกสั้น ๆ นี้ · เคส UAT-43 จะอนุมัติฝ่ายนี้ที่ขั้นที่ 1 แล้วตีกลับคืนทันทีในเคสเดียวกัน เพื่อให้เธอกลับมาแก้ไขได้ก่อนจบรอบ ไม่ต้องรอจนครบทั้ง 54 เคส</t>
        </is>
      </c>
      <c r="B27" s="50" t="n"/>
    </row>
    <row r="29" ht="19.5" customHeight="1">
      <c r="A29" s="59" t="inlineStr">
        <is>
          <t>วิธีใช้ไฟล์นี้ / How to use this workbook</t>
        </is>
      </c>
      <c r="B29" s="50" t="n"/>
    </row>
    <row r="30" ht="56" customHeight="1">
      <c r="A30" s="60" t="inlineStr">
        <is>
          <t>1.  ไปที่แท็บ “2. Test Cases” แล้วทดสอบ **เรียงตามคอลัมน์ `ลำดับการรัน` (Run Order) จาก 1 ถึง 54** — **ไม่ใช่เรียงตามคอลัมน์ Wave** · คอลัมน์ Wave ยังเป็นชื่อกลุ่มของเคสและใช้กรองดูได้เหมือนเดิม แต่ลำดับที่ต้องลงมือทำจริงคือคอลัมน์ `ลำดับการรัน` เพราะบางเคสต้องทำข้ามระลอก (เช่น UAT-53 และ UAT-54 อยู่ระลอก W8 แต่ต้องทำก่อนระลอก W5 · UAT-03 อยู่ระลอก W1 แต่ต้องทำหลัง UAT-32)</t>
        </is>
      </c>
      <c r="B30" s="50" t="n"/>
    </row>
    <row r="31" ht="28" customHeight="1">
      <c r="A31" s="60" t="inlineStr">
        <is>
          <t>2.  วิธีเรียง: คลิกลูกศรกรองบนหัวคอลัมน์ `ลำดับการรัน` แล้วเลือก “Sort Smallest to Largest” จากนั้นไล่ทำจากบนลงล่าง</t>
        </is>
      </c>
      <c r="B31" s="50" t="n"/>
    </row>
    <row r="32" ht="42" customHeight="1">
      <c r="A32" s="60" t="inlineStr">
        <is>
          <t>3.  ⚠ **อย่ากด `Approve` ขั้นที่ 3 ในเคส UAT-40 (ลำดับการรันที่ 52) จนกว่าทุกเคสที่มีลำดับการรันน้อยกว่า 52 จะเสร็จครบ** เพราะสถานะ `Approved` ย้อนกลับไม่ได้ ถ้ากดก่อน เคส UAT-41 · UAT-42 (ข้อ 5) · UAT-44 · UAT-47 · UAT-52 (ข้อ 1) จะทดสอบไม่ได้อีกเลยตลอดรอบ และต้องให้ทีม IT แก้ที่ฐานข้อมูลเท่านั้น</t>
        </is>
      </c>
      <c r="B32" s="50" t="n"/>
    </row>
    <row r="33" ht="16.5" customHeight="1">
      <c r="A33" s="60" t="inlineStr">
        <is>
          <t>4.  ทดสอบทีละเคสตาม “Test Steps” แล้วเทียบผลกับ “Expected Result”</t>
        </is>
      </c>
      <c r="B33" s="50" t="n"/>
    </row>
    <row r="34" ht="28" customHeight="1">
      <c r="A34" s="60" t="inlineStr">
        <is>
          <t>5.  **อ่าน “Expected Result” ให้จบทุกข้อก่อนตัดสินผล** — หลายเคสเป็นเคสรวม (merged) คือ 1 แถว แต่มีหลายข้อที่ต้องตรวจ ถ้าข้อใดข้อหนึ่งไม่ผ่าน ให้ทั้งแถวเป็น Fail แล้วระบุในช่อง Actual Result ว่าข้อไหนไม่ผ่าน</t>
        </is>
      </c>
      <c r="B34" s="50" t="n"/>
    </row>
    <row r="35" ht="56" customHeight="1">
      <c r="A35" s="60" t="inlineStr">
        <is>
          <t>6.  **ผู้ทดสอบดูแลช่องพื้นหลังสีเหลือง 7 ช่องนี้:** Actual Result, Status, Severity, Defect ID, Tester, Test Date, Remarks · ช่อง `Tester` กรอกชื่อไว้ล่วงหน้าแล้วตามแผนคนจาก actor map ก่อนเริ่มรอบ (ตัวหนังสือสีม่วงเหมือนช่องเนื้อหาเคสอื่น ๆ) ถ้าคนที่ลงมือทดสอบจริงไม่ตรงกับชื่อที่กรอกไว้ ให้แก้ชื่อในช่องนี้ให้ตรงกับคนที่ทำจริง · อีก 6 ช่องที่เหลือยังว่างอยู่ ให้ผู้ทดสอบกรอกเองระหว่างทดสอบตามปกติ</t>
        </is>
      </c>
      <c r="B35" s="50" t="n"/>
    </row>
    <row r="36" ht="28" customHeight="1">
      <c r="A36" s="60" t="inlineStr">
        <is>
          <t>7.  เลือก Status จาก dropdown: Pass / Fail / Blocked / N/A · **ช่องที่ยังว่าง = `Not Run` (ยังไม่ได้ทดสอบ) ซึ่งเป็นค่าเริ่มต้น** ไม่ต้องพิมพ์คำว่า Not Run เอง — แท็บ “3. Summary” นับช่องว่างเป็น Not Run ให้อัตโนมัติ</t>
        </is>
      </c>
      <c r="B36" s="50" t="n"/>
    </row>
    <row r="37" ht="42" customHeight="1">
      <c r="A37" s="60" t="inlineStr">
        <is>
          <t>8.  ถ้า Fail ให้ระบุ Severity บันทึกรายละเอียดใน “Actual Result” แล้ว **เปิดแถวใหม่ในแท็บ “4. Defects”** จากนั้นนำเลข Defect ID (D-001, D-002, …) มาใส่ในคอลัมน์ Defect ID ของแถวนี้ · ช่อง Severity ของแถว defect ใช้ **ชุดค่าเดียวกัน** (Critical / High / Medium / Low) ยกค่าจากแถวเคสไปใส่ได้ตรง ๆ ไม่ต้องแปลงเป็นคำอื่น</t>
        </is>
      </c>
      <c r="B37" s="50" t="n"/>
    </row>
    <row r="38" ht="16.5" customHeight="1">
      <c r="A38" s="60" t="inlineStr">
        <is>
          <t>9.  แท็บ “3. Summary” สรุปผลอัตโนมัติ (จำนวน / อัตราผ่าน / แยกตาม Module, Wave และฝ่าย) ไม่ต้องกรอกเอง</t>
        </is>
      </c>
      <c r="B38" s="50" t="n"/>
    </row>
    <row r="39" ht="42" customHeight="1">
      <c r="A39" s="60" t="inlineStr">
        <is>
          <t>10. **ข้อยกเว้นเดียวของกติกา “กรอกเฉพาะช่องสีเหลือง” คือคอลัมน์ `PIC`** ซึ่งเป็นช่องสีขาว และคนที่กรอกไม่ใช่ผู้ทดสอบ แต่เป็น **Test Lead** ที่กรอกชื่อผู้รับผิดชอบรายเคสไว้ **ก่อน** เริ่มรอบทดสอบ (ใช้เมื่อ Test Lead ต้องการมอบหมายผู้รับผิดชอบเพิ่มเติม นอกเหนือจากชื่อที่กรอกไว้แล้วในช่อง `Tester`) · ระหว่างทดสอบ ผู้ทดสอบไม่ต้องแตะคอลัมน์นี้</t>
        </is>
      </c>
      <c r="B39" s="50" t="n"/>
    </row>
    <row r="40" ht="42" customHeight="1">
      <c r="A40" s="60" t="inlineStr">
        <is>
          <t>11. ตัวหนังสือ **สีม่วง** คือข้อความที่ AI ร่างไว้ให้ ยังไม่ผ่านการตรวจจากผู้ทดสอบ ถ้าพบว่าไม่ตรงกับระบบจริง แก้ได้เลยแล้วบันทึกไว้ในช่อง Remarks · **ยกเว้นคอลัมน์ `Wave` และ `ลำดับการรัน` ซึ่งพิมพ์ด้วยตัวสีดำ** เพราะเป็นค่าที่โปรแกรมคำนวณมาให้ ไม่ใช่ข้อความที่ AI ร่าง — ห้ามแก้ ถ้าเห็นว่าลำดับผิดให้แจ้ง Test Lead แทน</t>
        </is>
      </c>
      <c r="B40" s="50" t="n"/>
    </row>
    <row r="41" ht="28" customHeight="1">
      <c r="A41" s="60" t="inlineStr">
        <is>
          <t>12. อ่านเอกสารประกอบ `UAT_Test_Script.md` (ภาษาไทย) ก่อนเริ่ม — อธิบายลำดับการรัน บทบาทของแต่ละคน และสิ่งที่ตัดออกจากรอบนี้โดยตั้งใจ</t>
        </is>
      </c>
      <c r="B41" s="50" t="n"/>
    </row>
    <row r="43" ht="19.5" customHeight="1">
      <c r="A43" s="59" t="inlineStr">
        <is>
          <t>ตัวอย่างการกรอก 1 แถว (worked example)</t>
        </is>
      </c>
      <c r="B43" s="50" t="n"/>
    </row>
    <row r="44" ht="16.5" customHeight="1">
      <c r="A44" s="60" t="inlineStr">
        <is>
          <t>เคสตัวอย่าง UAT-09 (ระลอก W2) — “กรอกยอดแล้วคลิกออกจากช่อง = บันทึกอัตโนมัติ · refresh หน้าแล้วค่ายังอยู่”</t>
        </is>
      </c>
      <c r="B44" s="50" t="n"/>
    </row>
    <row r="45" ht="42" customHeight="1">
      <c r="A45" s="60" t="inlineStr">
        <is>
          <t>ถ้าผ่าน → Actual Result = “กรอก 100 ที่เดือน ม.ค. คลิกออกจากช่อง แล้ว refresh หน้า ค่ายังเป็น 100” · Status = `Pass` · Severity = `-` · Defect ID = (เว้นว่าง) · Tester = `Pornthip` · Test Date = วันที่ทดสอบ · Remarks = (เว้นว่าง)</t>
        </is>
      </c>
      <c r="B45" s="50" t="n"/>
    </row>
    <row r="46" ht="28" customHeight="1">
      <c r="A46" s="60" t="inlineStr">
        <is>
          <t>ถ้าไม่ผ่าน → Actual Result = “refresh แล้วค่าหาย กลับเป็นช่องว่าง” · Status = `Fail` · Severity = `High` · Defect ID = `D-001` แล้วไปเปิดแถว D-001 ในแท็บ “4. Defects” กรอกหัวข้อ ผู้แจ้ง วันที่ และสถานะ `Open`</t>
        </is>
      </c>
      <c r="B46" s="50" t="n"/>
    </row>
    <row r="47" ht="28" customHeight="1">
      <c r="A47" s="60" t="inlineStr">
        <is>
          <t>ถ้าทดสอบไม่ได้เพราะติดเคสอื่นหรือข้อมูลยังไม่พร้อม → Status = `Blocked` และเขียนเหตุผลใน Remarks (อย่าปล่อยเป็น `Not Run` ถ้าพยายามทดสอบแล้ว)</t>
        </is>
      </c>
      <c r="B47" s="50" t="n"/>
    </row>
    <row r="49" ht="19.5" customHeight="1">
      <c r="A49" s="59" t="inlineStr">
        <is>
          <t>Legend / คำอธิบายสี &amp; สถานะ</t>
        </is>
      </c>
      <c r="B49" s="50" t="n"/>
    </row>
    <row r="50" ht="48" customHeight="1">
      <c r="A50" s="10" t="n"/>
      <c r="B50" s="7" t="inlineStr">
        <is>
          <t>ช่องพื้นหลังสีเหลือง = ช่องที่ผู้ทดสอบดูแลระหว่างรอบทดสอบ (7 ช่อง: Actual Result, Status, Severity, Defect ID, Tester, Test Date, Remarks) · ช่อง `Tester` มีชื่อกรอกไว้ล่วงหน้าแล้วตามแผนคน (ตัวหนังสือสีม่วง) ผู้ทดสอบแก้ไขได้ถ้าคนที่ทดสอบจริงเปลี่ยนไปจากแผน ส่วนอีก 6 ช่องยังว่าง กรอกเองระหว่างทดสอบ</t>
        </is>
      </c>
    </row>
    <row r="51" ht="48" customHeight="1">
      <c r="A51" s="7" t="n"/>
      <c r="B51" s="7" t="inlineStr">
        <is>
          <t>ช่อง `PIC` เป็นช่องสีขาว แต่เป็นข้อยกเว้นเดียวที่ต้องกรอก — Test Lead กรอกก่อนเริ่มรอบ ผู้ทดสอบไม่ต้องแตะ (คนละหน้าที่กับช่อง `Tester`: `PIC` = ผู้รับผิดชอบที่ Test Lead มอบหมาย, `Tester` = คนที่ต้องลงมือทดสอบตามแผน) · ช่องสีขาวอื่นทั้งหมดคือเนื้อหาเคส ไม่ต้องแก้</t>
        </is>
      </c>
    </row>
    <row r="52" ht="48" customHeight="1">
      <c r="A52" s="7" t="n"/>
      <c r="B52" s="7" t="inlineStr">
        <is>
          <t>รูปแบบ `ชื่อ(jakkarit)` ในช่อง `Tester` (พบที่ UAT-31 และช่วงหนึ่งของ UAT-43) แปลว่า **jakkaritw เป็นคนกดจริงบนเครื่อง** โดยสวมสิทธิ์ผ่านหน้า `/sit/impersonate` เป็นคนที่ชื่ออยู่หน้าวงเล็บ — ระบบบันทึกประวัติเป็นชื่อคนที่ถูกสวมสิทธิ์เท่านั้น ไม่มีคอลัมน์เก็บชื่อผู้กดจริง</t>
        </is>
      </c>
    </row>
    <row r="53" ht="48" customHeight="1">
      <c r="A53" s="7" t="n"/>
      <c r="B53" s="7" t="inlineStr">
        <is>
          <t>คอลัมน์ `ลำดับการรัน` (Run Order) = ลำดับที่ต้องลงมือทำจริง 1 → 54 · คอลัมน์ `Wave` = ชื่อกลุ่มของเคส ใช้กรองดูเท่านั้น **ไม่ใช่ลำดับการทำ** · สองคอลัมน์นี้พิมพ์ด้วย **ตัวอักษรสีดำ ไม่ใช่สีม่วง** เพราะโปรแกรมคำนวณมาให้ ไม่ใช่ข้อความที่ AI ร่าง — **ห้ามแก้ทั้งสองคอลัมน์**</t>
        </is>
      </c>
    </row>
    <row r="54" ht="16.5" customHeight="1">
      <c r="A54" s="11" t="n"/>
      <c r="B54" s="7" t="inlineStr">
        <is>
          <t>Status = Pass  (ผลตรงตามที่คาดหวังทุกข้อ)</t>
        </is>
      </c>
    </row>
    <row r="55" ht="27" customHeight="1">
      <c r="A55" s="12" t="n"/>
      <c r="B55" s="7" t="inlineStr">
        <is>
          <t>Status = Fail  (ผลไม่ตรงอย่างน้อย 1 ข้อ — ต้องเปิดแถวใน “4. Defects” และใส่เลข Defect ID)</t>
        </is>
      </c>
    </row>
    <row r="56" ht="27" customHeight="1">
      <c r="A56" s="13" t="n"/>
      <c r="B56" s="7" t="inlineStr">
        <is>
          <t>Status = Blocked (ทดสอบไม่ได้ ติดเคสอื่นหรือข้อมูลยังไม่พร้อม) · N/A (ไม่เกี่ยวกับรอบนี้)</t>
        </is>
      </c>
    </row>
    <row r="57" ht="27" customHeight="1">
      <c r="A57" s="7" t="n"/>
      <c r="B57" s="14" t="inlineStr">
        <is>
          <t>ตัวหนังสือสีม่วง = ข้อความที่ AI ร่างไว้ ยังไม่ผ่านการตรวจจากคน — แก้ได้ถ้าไม่ตรงกับระบบจริง · ตัวหนังสือสีดำในคอลัมน์ `Wave` และ `ลำดับการรัน` = ค่าที่โปรแกรมคำนวณ ห้ามแก้</t>
        </is>
      </c>
    </row>
    <row r="58" ht="45" customHeight="1">
      <c r="A58" s="61" t="inlineStr">
        <is>
          <t>Severity: Critical = ระบบใช้งานไม่ได้ / ข้อมูลผิดพลาดร้ายแรง  |  High = ฟังก์ชันหลักเสีย  |  Medium = มีทางเลี่ยง  |  Low = ปัญหาเล็กน้อย / UI  ·  ชุดค่านี้ใช้เหมือนกันทั้งแท็บ “2. Test Cases” และแท็บ “4. Defects” จึงยกค่าจากแถวเคสไปใส่แถว defect ได้ตรง ๆ ไม่ต้องแปลง (ค่า `-` มีเฉพาะแท็บ “2. Test Cases” ใช้เมื่อเคสนั้นไม่ Fail)</t>
        </is>
      </c>
      <c r="B58" s="50" t="n"/>
    </row>
  </sheetData>
  <mergeCells count="30">
    <mergeCell ref="A24:B24"/>
    <mergeCell ref="A30:B30"/>
    <mergeCell ref="A49:B49"/>
    <mergeCell ref="A45:B45"/>
    <mergeCell ref="A36:B36"/>
    <mergeCell ref="A1:B1"/>
    <mergeCell ref="A25:B25"/>
    <mergeCell ref="A41:B41"/>
    <mergeCell ref="A37:B37"/>
    <mergeCell ref="A46:B46"/>
    <mergeCell ref="A27:B27"/>
    <mergeCell ref="A26:B26"/>
    <mergeCell ref="A21:B21"/>
    <mergeCell ref="A2:B2"/>
    <mergeCell ref="A33:B33"/>
    <mergeCell ref="A47:B47"/>
    <mergeCell ref="A32:B32"/>
    <mergeCell ref="A23:B23"/>
    <mergeCell ref="A22:B22"/>
    <mergeCell ref="A35:B35"/>
    <mergeCell ref="A4:B4"/>
    <mergeCell ref="A38:B38"/>
    <mergeCell ref="A29:B29"/>
    <mergeCell ref="A43:B43"/>
    <mergeCell ref="A44:B44"/>
    <mergeCell ref="A40:B40"/>
    <mergeCell ref="A31:B31"/>
    <mergeCell ref="A58:B58"/>
    <mergeCell ref="A39:B39"/>
    <mergeCell ref="A34:B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showGridLines="0" workbookViewId="0">
      <pane xSplit="5" ySplit="2" topLeftCell="F3"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10" customWidth="1" min="2" max="2"/>
    <col width="8.289999999999999" customWidth="1" min="3" max="3"/>
    <col width="12" customWidth="1" min="4" max="4"/>
    <col width="21.57" customWidth="1" min="5" max="5"/>
    <col width="18" customWidth="1" min="6" max="6"/>
    <col width="12" customWidth="1" min="7" max="7"/>
    <col width="37.71" customWidth="1" min="8" max="8"/>
    <col width="12" customWidth="1" min="9" max="9"/>
    <col width="34.71" customWidth="1" min="10" max="10"/>
    <col width="47.29" customWidth="1" min="11" max="11"/>
    <col width="45.57" customWidth="1" min="12" max="12"/>
    <col width="53.71" customWidth="1" min="13" max="13"/>
    <col width="18.57" customWidth="1" min="14" max="14"/>
    <col width="11" customWidth="1" min="15" max="15"/>
    <col width="12" customWidth="1" min="16" max="16"/>
    <col width="11" customWidth="1" min="17" max="17"/>
    <col width="12" customWidth="1" min="18" max="18"/>
    <col width="12" customWidth="1" min="19" max="19"/>
    <col width="25.43" customWidth="1" min="20" max="20"/>
  </cols>
  <sheetData>
    <row r="1" ht="24" customHeight="1">
      <c r="A1" s="62" t="inlineStr">
        <is>
          <t>Budget Web App — UAT Test Cases (Round 1 · FY2027 · production)</t>
        </is>
      </c>
      <c r="B1" s="50" t="n"/>
      <c r="C1" s="50" t="n"/>
      <c r="D1" s="50" t="n"/>
      <c r="E1" s="50" t="n"/>
      <c r="F1" s="50" t="n"/>
      <c r="G1" s="50" t="n"/>
      <c r="H1" s="50" t="n"/>
      <c r="I1" s="50" t="n"/>
      <c r="J1" s="50" t="n"/>
      <c r="K1" s="50" t="n"/>
      <c r="L1" s="50" t="n"/>
      <c r="M1" s="50" t="n"/>
      <c r="N1" s="50" t="n"/>
      <c r="O1" s="50" t="n"/>
      <c r="P1" s="50" t="n"/>
      <c r="Q1" s="50" t="n"/>
      <c r="R1" s="50" t="n"/>
      <c r="S1" s="50" t="n"/>
      <c r="T1" s="50" t="n"/>
    </row>
    <row r="2" ht="33.75" customHeight="1">
      <c r="A2" s="17" t="inlineStr">
        <is>
          <t>Wave</t>
        </is>
      </c>
      <c r="B2" s="17" t="inlineStr">
        <is>
          <t>Run Order / ลำดับการรัน</t>
        </is>
      </c>
      <c r="C2" s="17" t="inlineStr">
        <is>
          <t>No.</t>
        </is>
      </c>
      <c r="D2" s="17" t="inlineStr">
        <is>
          <t>Test Case ID</t>
        </is>
      </c>
      <c r="E2" s="17" t="inlineStr">
        <is>
          <t>Module</t>
        </is>
      </c>
      <c r="F2" s="17" t="inlineStr">
        <is>
          <t>Department</t>
        </is>
      </c>
      <c r="G2" s="17" t="inlineStr">
        <is>
          <t>PIC</t>
        </is>
      </c>
      <c r="H2" s="17" t="inlineStr">
        <is>
          <t>Test Scenario</t>
        </is>
      </c>
      <c r="I2" s="17" t="inlineStr">
        <is>
          <t>Priority</t>
        </is>
      </c>
      <c r="J2" s="17" t="inlineStr">
        <is>
          <t>Preconditions / เงื่อนไขก่อนทดสอบ</t>
        </is>
      </c>
      <c r="K2" s="17" t="inlineStr">
        <is>
          <t>Test Steps</t>
        </is>
      </c>
      <c r="L2" s="17" t="inlineStr">
        <is>
          <t>Test Data</t>
        </is>
      </c>
      <c r="M2" s="17" t="inlineStr">
        <is>
          <t>Expected Result</t>
        </is>
      </c>
      <c r="N2" s="17" t="inlineStr">
        <is>
          <t>Actual Result</t>
        </is>
      </c>
      <c r="O2" s="17" t="inlineStr">
        <is>
          <t>Status</t>
        </is>
      </c>
      <c r="P2" s="17" t="inlineStr">
        <is>
          <t>Severity</t>
        </is>
      </c>
      <c r="Q2" s="17" t="inlineStr">
        <is>
          <t>Defect ID</t>
        </is>
      </c>
      <c r="R2" s="17" t="inlineStr">
        <is>
          <t>Tester</t>
        </is>
      </c>
      <c r="S2" s="17" t="inlineStr">
        <is>
          <t>Test Date</t>
        </is>
      </c>
      <c r="T2" s="17" t="inlineStr">
        <is>
          <t>Remarks / หมายเหตุ</t>
        </is>
      </c>
    </row>
    <row r="3" ht="516" customHeight="1">
      <c r="A3" s="18" t="inlineStr">
        <is>
          <t>W1</t>
        </is>
      </c>
      <c r="B3" s="18" t="n">
        <v>1</v>
      </c>
      <c r="C3" s="19" t="n">
        <v>1</v>
      </c>
      <c r="D3" s="20" t="inlineStr">
        <is>
          <t>UAT-01</t>
        </is>
      </c>
      <c r="E3" s="20" t="inlineStr">
        <is>
          <t>Login / Authentication</t>
        </is>
      </c>
      <c r="F3" s="20" t="inlineStr">
        <is>
          <t>ทั้งสองฝ่าย</t>
        </is>
      </c>
      <c r="G3" s="18" t="n"/>
      <c r="H3" s="20" t="inlineStr">
        <is>
          <t>Pornthip (ผู้กรอกงบประมาณ) ล็อกอินเข้าระบบ แล้วตรวจแถบผู้ใช้ด้านบนว่าแสดงสายงาน ชื่อฝ่าย จำนวน Cost Center จำนวน GL และ role badge ตรงกับสิทธิ์จริง รวมถึงการย่อชื่อฝ่ายเหลือ 3 ชื่อแล้วต่อท้ายด้วย +N</t>
        </is>
      </c>
      <c r="I3" s="19" t="inlineStr">
        <is>
          <t>High</t>
        </is>
      </c>
      <c r="J3" s="20" t="inlineStr">
        <is>
          <t>มีบัญชีผู้ใช้ของ Pornthip (pornthipp@chememan.com) เป็น Filler และเข้าถึง URL ของระบบ (production) ได้ · ไฟล์ master `cc dept.xlsx` กำหนดให้ Pornthip เป็นผู้กรอกของทั้งฝ่าย Data &amp; Analytic และฝ่าย Solution Delivery และ sync เข้าระบบเรียบร้อยแล้ว · ผู้ทดสอบเตรียมรายการสิทธิ์จริงของตนเองไว้เทียบก่อนเริ่ม (ชื่อสายงาน ชื่อฝ่ายทั้งหมด และจำนวน Cost Center ต่อฝ่าย) โดยขอจากผู้ดูแลระบบ (nipapornt@chememan.com)</t>
        </is>
      </c>
      <c r="K3" s="20" t="inlineStr">
        <is>
          <t>1. เปิด URL ของระบบ (production) ด้วยเบราว์เซอร์ Chrome
2. ล็อกอินด้วยบัญชี pornthipp@chememan.com ที่หน้าล็อกอินของ Microsoft (ถ้าเคยล็อกอินบนเครื่องนี้แล้ว ระบบอาจพาเข้าให้เองโดยไม่ถามรหัสผ่าน ถือว่าปกติ)
3. รอให้หน้าหลักแสดงผล แล้วมองที่แถบผู้ใช้ด้านบนของหน้าจอ
4. อ่านค่าทีละอย่างแล้วจดลงช่อง Actual Result: ชื่อผู้ใช้และอีเมลเต็ม · ป้ายบอกสิทธิ์ (role badge) · ชื่อสายงานหลังคำว่า `สายงาน` · ชื่อฝ่ายทุกชื่อที่แสดง · ตัวเลขจำนวนฝ่ายที่อยู่ข้างคำว่า `ฝ่าย` · ตัวเลขบนป้าย `Cost Centers` · ตัวเลขบนป้าย `GL Codes`
5. เทียบจำนวนฝ่ายและจำนวน Cost Center ที่หน้าจอแสดง กับรายการสิทธิ์จริงที่เตรียมไว้ในเงื่อนไขก่อนทดสอบ
6. นับจำนวน "ชื่อฝ่าย" ที่แถบผู้ใช้แสดงจริง แล้วดูว่ามีป้ายท้ายรายการที่ขึ้นต้นด้วยเครื่องหมาย + หรือไม่ (รูปแบบของป้ายนี้คือ `+&lt;จำนวน&gt; ฝ่าย` เช่น `+6 ฝ่าย`) แล้วจดทั้งจำนวนชื่อที่แสดงและข้อความบนป้ายลงช่อง Actual Result
7. ทำแบบเดียวกันกับชื่อสายงาน — นับจำนวนชื่อสายงานที่แสดง และดูว่ามีป้าย `+&lt;จำนวน&gt; สายงาน` ต่อท้ายหรือไม่ แล้วจดไว้
8. คลิกลิงก์ `ออกจากระบบ` ที่มุมขวาของแถบผู้ใช้เพื่อยืนยันว่าลิงก์นี้มีอยู่จริงและกดได้ (ผลของการออกจากระบบตรวจในเคส UAT-04 เคสนี้ตรวจแค่ว่ามีลิงก์)</t>
        </is>
      </c>
      <c r="L3" s="20" t="inlineStr">
        <is>
          <t>User: Pornthip (Filler) — pornthipp@chememan.com
ฝ่ายที่คาดว่าจะเห็น: Data &amp; Analytic (Cost Center 10IT011300 และ 10IT013000) และ Solution Delivery (Cost Center 10IT012000)
ปีที่หน้าจอแสดง: Year 2026 (= ปีงบประมาณ 2027)</t>
        </is>
      </c>
      <c r="M3" s="20" t="inlineStr">
        <is>
          <t>1. เข้าสู่ระบบสำเร็จ แสดงหน้าหลักตามสิทธิ์ผู้กรอกงบประมาณ โดยไม่มีข้อความ error
2. ป้ายบอกสิทธิ์ (role badge) บนแถบผู้ใช้แสดงคำว่า `ผู้กรอกงบประมาณ`
3. แถบผู้ใช้แสดง **ชื่อสายงานจริง** ของผู้ใช้ — ถ้าขึ้นเป็นข้อความ `ไม่ระบุสายงาน` ถือว่า Fail และให้แจ้งผู้ดูแลระบบตรวจการจับคู่ Cost Center กับฝ่าย/สายงานในไฟล์ master ก่อนสรุปว่าเป็นบั๊กของแอป
4. ชื่อฝ่ายที่แสดงตรงกับฝ่ายที่ผู้ใช้ถือจริง และตัวเลขจำนวนฝ่ายข้างคำว่า `ฝ่าย` ตรงกับจำนวนจริง (Pornthip = 2 ฝ่าย คือ Data &amp; Analytic และ Solution Delivery)
5. ป้าย `Cost Centers` แสดงจำนวน Cost Center ที่ผู้ใช้กรอกได้ **รวมทุกฝ่าย** ไม่ใช่เฉพาะฝ่ายที่เลือกอยู่ — Pornthip ต้องได้เลข 3 (Data &amp; Analytic 2 + Solution Delivery 1)
6. ป้าย `GL Codes` แสดงจำนวนรหัส GL ที่ไม่ซ้ำกันของแถวที่มีอยู่จริงในตารางของทุก Cost Center ที่กรอกได้ จึงต้องเป็นตัวเลข ไม่ใช่ `—` และตัวเลขนี้จะเพิ่มขึ้นเมื่อเพิ่มแถวใหม่ในระลอก W2 — ให้จดตัวเลขที่เห็นวันนี้ไว้ ไม่ต้องเทียบกับรายการสิทธิ์
7. กติกาการย่อชื่อ: แถบผู้ใช้แสดงชื่อฝ่ายได้มากที่สุด **3 ชื่อ** ที่เหลือจะยุบเป็นป้ายเดียวรูปแบบ `+&lt;จำนวนที่เหลือ&gt; ฝ่าย` โดยตัวเลขต้องเท่ากับจำนวนฝ่ายที่ถูกซ่อนพอดี · **สำหรับ Pornthip ที่ถือ 2 ฝ่าย ผลที่ถูกต้องคือแสดงชื่อครบทั้ง 2 ชื่อ และต้องไม่มีป้าย `+` ใด ๆ เลย** ถ้าเห็นป้าย `+` ทั้งที่มีแค่ 2 ฝ่าย ถือว่า Fail
8. กติกาเดียวกันนี้ใช้กับชื่อสายงานด้วย (ย่อที่ 3 ชื่อ แล้วต่อท้ายด้วย `+&lt;จำนวน&gt; สายงาน`) — ให้จดผลที่เห็นไว้
9. มีลิงก์ `ออกจากระบบ` อยู่ที่มุมขวาของแถบผู้ใช้ และกดได้
— หมายเหตุสำคัญ —
เคสนี้ครอบคลุมช่องว่าง "แถบผู้ใช้และการอ่านสิทธิ์" ซึ่งไม่เคยถูกทดสอบในรอบ SIT · ถ้าจำนวนฝ่ายหรือจำนวน Cost Center ไม่ตรงกับสิทธิ์จริง ให้เปิด Defect และแจ้งผู้ดูแลระบบตรวจไฟล์ master `cc dept.xlsx` ก่อนสรุปว่าเป็นบั๊กของแอป · ข้อ 7 และ 8 (การย่อชื่อเหลือ 3 ชื่อ + ป้าย `+N`) จะเห็นผลเป็น "ไม่มีป้าย +" เพราะผู้ทดสอบถือแค่ 2 ฝ่าย นั่นคือผลที่ถูกต้อง ไม่ใช่การทดสอบที่ล้มเหลว</t>
        </is>
      </c>
      <c r="N3" s="51" t="inlineStr">
        <is>
          <t>แถบผู้ใช้แสดง: pornthipp / pornthipp@chememan.com · role badge = ผู้กรอกงบประมาณ · สายงาน = Digital Technology · ฝ่าย 2 = Data &amp; Analytic, Solution Delivery · 3 COST CENTERS · 8 GL CODES (จดไว้ตามข้อ 6) · ไม่มีป้าย + ต่อท้ายชื่อฝ่ายหรือสายงาน · มีลิงก์ ออกจากระบบ ที่มุมขวา (ไม่ได้กด — ผลของการออกจากระบบตรวจใน UAT-04)</t>
        </is>
      </c>
      <c r="O3" s="21" t="inlineStr">
        <is>
          <t>Pass</t>
        </is>
      </c>
      <c r="P3" s="22" t="n"/>
      <c r="Q3" s="22" t="n"/>
      <c r="R3" s="23" t="inlineStr">
        <is>
          <t>Pornthip</t>
        </is>
      </c>
      <c r="S3" s="24" t="n">
        <v>46274</v>
      </c>
      <c r="T3" s="51" t="inlineStr">
        <is>
          <t>[AI pre-run 09/09/2026] ตรงกับ Expected ข้อ 1-9 ทุกข้อ · ข้อ 8 (กดลิงก์ออกจากระบบเพื่อยืนยันว่ากดได้) ไม่ได้กดใน pre-UAT เพราะจะทำให้ session ของการรันหลุด — ให้คนกดในรอบจริง</t>
        </is>
      </c>
    </row>
    <row r="4" ht="372" customHeight="1">
      <c r="A4" s="18" t="inlineStr">
        <is>
          <t>W1</t>
        </is>
      </c>
      <c r="B4" s="18" t="n">
        <v>2</v>
      </c>
      <c r="C4" s="19" t="n">
        <v>2</v>
      </c>
      <c r="D4" s="20" t="inlineStr">
        <is>
          <t>UAT-02</t>
        </is>
      </c>
      <c r="E4" s="20" t="inlineStr">
        <is>
          <t>Login / Authentication</t>
        </is>
      </c>
      <c r="F4" s="20" t="inlineStr">
        <is>
          <t>ทั้งสองฝ่าย</t>
        </is>
      </c>
      <c r="G4" s="18" t="n"/>
      <c r="H4" s="20" t="inlineStr">
        <is>
          <t>ผู้กรอกงบประมาณที่ถือ 2 ฝ่าย เปิดตัวเลือกฝ่าย: หน้าจอต้องเลือกฝ่ายแรกให้อัตโนมัติและไม่ปล่อยให้ว่าง ต้องเห็นครบทั้ง 2 ฝ่ายพร้อมช่องค้นหา กลุ่มสายงาน และจำนวน Cost Center ต่อฝ่าย และสลับฝ่ายแล้วตารางหลักเปลี่ยนตาม</t>
        </is>
      </c>
      <c r="I4" s="19" t="inlineStr">
        <is>
          <t>High</t>
        </is>
      </c>
      <c r="J4" s="20" t="inlineStr">
        <is>
          <t>ล็อกอินเป็น Pornthip (pornthipp@chememan.com) · Pornthip ถูกกำหนดให้เป็นผู้กรอกของทั้ง Data &amp; Analytic และ Solution Delivery ในไฟล์ master `cc dept.xlsx` และ sync เข้าระบบเรียบร้อยแล้ว (ยืนยันแล้วว่าใช้งานได้จริง) — ถ้าเปิดมาแล้วยังเห็นฝ่ายเดียว ให้บันทึกสถานะ Blocked ไม่ใช่ Fail แล้วแจ้งผู้ดูแลระบบ · ปีที่เลือกบนหน้าจอ = Year 2026 (ปีงบ 2027 ซึ่งเป็นปีเดียวที่เปิดรับ) · เปิดหน้าจอด้วย URL เปล่า ๆ ไม่ต้องมีข้อความต่อท้ายหลังเครื่องหมาย ? เพราะลิงก์แบบเจาะจงฝ่ายจะทับกติกาการเลือกฝ่ายเริ่มต้น</t>
        </is>
      </c>
      <c r="K4" s="20" t="inlineStr">
        <is>
          <t>1. ล็อกอินเป็น Pornthip แล้วมองที่แถบเครื่องมือเหนือตาราง **ก่อนคลิกอะไรทั้งสิ้น** จดว่าปุ่มเลือกฝ่ายแสดงชื่อฝ่ายใดอยู่ หรือแสดงข้อความ `— เลือกฝ่าย —`
2. จดด้วยว่าตารางหลักโหลดข้อมูลของฝ่ายนั้นขึ้นมาให้แล้วหรือยังว่างเปล่า
3. คลิกที่ปุ่มเลือกฝ่ายเพื่อเปิดรายการ
4. ตรวจว่ามีช่องค้นหาอยู่ด้านบนของรายการ (ข้อความจาง ๆ ในช่องเขียนว่า `ค้นหาฝ่าย…`) และรายการฝ่ายถูกจัดกลุ่มตามสายงาน โดยหัวข้อกลุ่มมีตัวเลขจำนวนฝ่ายในสายงานนั้นกำกับอยู่
5. อ่านจำนวน Cost Center ที่แสดงต่อท้ายชื่อฝ่ายแต่ละฝ่าย (รูปแบบ `2 CC`) แล้วจดลงช่อง Actual Result
6. พิมพ์คำค้น `Solution` ในช่องค้นหา แล้วดูว่ารายการถูกกรองให้เหลือเฉพาะฝ่ายที่ตรงกับคำค้น
7. พิมพ์คำที่ไม่มีอยู่จริง เช่น `zzz` แล้วจดข้อความที่ระบบขึ้นเมื่อไม่พบฝ่าย
8. ลบคำค้นออก แล้วเลือกฝ่าย Solution Delivery · ดูตารางหลัก จด Cost Center และจำนวนแถวที่เห็น
9. เปิดตัวเลือกฝ่ายอีกครั้ง สลับกลับไปฝ่าย Data &amp; Analytic แล้วดูตารางหลักอีกครั้ง จดสิ่งที่เห็น
10. เปิดตัวเลือกฝ่ายอีกครั้งแล้วกดปุ่ม Esc เพื่อปิดโดยไม่เลือกฝ่าย</t>
        </is>
      </c>
      <c r="L4" s="20" t="inlineStr">
        <is>
          <t>User: Pornthip (Filler) — pornthipp@chememan.com
ฝ่ายที่คาดว่าจะเห็น 2 ฝ่าย: Data &amp; Analytic (2 Cost Center) · Solution Delivery (1 Cost Center: 10IT012000)
คำค้นที่ใช้ทดสอบช่องค้นหา: `Solution`</t>
        </is>
      </c>
      <c r="M4" s="20" t="inlineStr">
        <is>
          <t>1. เมื่อเข้าหน้าจอครั้งแรกโดยไม่ได้ใช้ลิงก์เจาะจงฝ่าย ระบบ **เลือกฝ่ายแรกตามลำดับตัวอักษรให้อัตโนมัติ** และตารางหลักโหลดข้อมูลของฝ่ายนั้นขึ้นมาเลย — สำหรับ Pornthip คือฝ่าย `Data &amp; Analytic` · หน้าจอต้อง **ไม่** ค้างอยู่ที่ข้อความ `— เลือกฝ่าย —` (ข้อความนี้จะขึ้นก็ต่อเมื่อผู้ใช้ไม่มีสิทธิ์ในฝ่ายใดเลย)
2. เปิดรายการแล้วเห็นครบทั้ง 2 ฝ่าย จัดกลุ่มตามสายงาน และหัวข้อกลุ่มมีตัวเลขจำนวนฝ่ายในสายงานนั้นกำกับ
3. มีช่องค้นหาที่มีข้อความจาง ๆ ว่า `ค้นหาฝ่าย…` และเมื่อพิมพ์ `Solution` รายการเหลือเฉพาะฝ่ายที่ชื่อ (หรือชื่อสายงาน) มีคำนั้นอยู่ · เมื่อพิมพ์คำที่ไม่มีอยู่จริง ระบบขึ้นข้อความ `ไม่พบฝ่ายในสิทธิ์ของคุณ`
4. แต่ละฝ่ายแสดงจำนวน Cost Center ของตนเองต่อท้ายชื่อ — `Data &amp; Analytic` = `2 CC` · `Solution Delivery` = `1 CC`
5. เมื่อเลือกฝ่ายใดฝ่ายหนึ่ง ตารางหลักโหลดข้อมูลของฝ่ายนั้น และเมื่อสลับไปอีกฝ่าย ตารางเปลี่ยนตามทันที ต้องไม่ค้างข้อมูล Cost Center ของฝ่ายก่อนหน้า
6. กด Esc แล้วรายการฝ่ายปิดลง โดยฝ่ายที่เลือกไว้เดิมไม่เปลี่ยน
— หมายเหตุสำคัญ —
ฝ่าย Solution Delivery ปีงบ 2027 ยังไม่มีข้อมูลที่กรอกไว้เลย (0 แถว) ดังนั้นการที่ตารางว่างหลังสลับไปฝ่ายนั้น ถือว่าปกติ ไม่ใช่ข้อผิดพลาด · การที่ระบบเลือกฝ่ายแรกให้อัตโนมัติเป็นพฤติกรรมที่ตัดสินไว้แล้ว (2026-07-21 — เดิมเคยออกแบบให้เริ่มต้นว่าง แล้วเปลี่ยนเป็นห้ามปล่อยให้หน้าจอว่าง) จึง **ไม่ใช่ defect** · ถ้ายังเห็นฝ่ายเดียว แปลว่า master `cc dept.xlsx` ยังไม่ได้แก้หรือยัง sync ไม่ถึง ให้บันทึกเป็น Blocked แล้วแจ้งผู้ดูแลระบบ</t>
        </is>
      </c>
      <c r="N4" s="51" t="inlineStr">
        <is>
          <t>ข้อ1-2: เปิดหน้าด้วย URL เปล่า ระบบเลือก Data &amp; Analytic ให้เองทันที ตารางโหลดแถว 10IT013000 ไม่ค้างที่ '— เลือกฝ่าย —' · ข้อ4: รายการจัดกลุ่ม 'DIGITAL TECHNOLOGY 2' ช่องค้นหา placeholder = 'ค้นหาฝ่าย…' · ข้อ5: Data &amp; Analytic = 2 CC, Solution Delivery = 1 CC · ข้อ6: พิมพ์ Solution เหลือเฉพาะ Solution Delivery 1 CC · ข้อ7: พิมพ์ zzz ขึ้น 'ไม่พบฝ่ายในสิทธิ์ของคุณ' · ข้อ8: เลือก Solution Delivery ตารางเปลี่ยนเป็น cost center 10IT012000 (ไม่มีแถว 10IT013000 ค้าง) · ข้อ9: กลับ Data &amp; Analytic ตารางเปลี่ยนเป็น 10IT013000 สถานะ Draft — not submitted · ข้อ10: เปิดรายการแล้วกด Esc รายการปิด ปุ่มยังเป็น Data &amp; Analytic</t>
        </is>
      </c>
      <c r="O4" s="21" t="inlineStr">
        <is>
          <t>Pass</t>
        </is>
      </c>
      <c r="P4" s="22" t="n"/>
      <c r="Q4" s="22" t="n"/>
      <c r="R4" s="23" t="inlineStr">
        <is>
          <t>Pornthip</t>
        </is>
      </c>
      <c r="S4" s="24" t="n">
        <v>46274</v>
      </c>
      <c r="T4" s="51" t="inlineStr">
        <is>
          <t>[AI pre-run 09/09/2026] ตรง Expected ข้อ 1-6 ทุกข้อ · ข้อสังเกต (ไม่ใช่ defect): ตารางของ Solution Delivery ไม่ได้ว่างเปล่าอย่างที่ note ของเคสคาด — แสดงแถว GL ของ 10IT012000 พร้อมยอด SAP ใช้จริง แต่ชั้น Pending เป็น 0 ทั้งหมด เพราะแถวมาจากชั้น SAP ไม่ใช่ข้อมูลที่กรอก ควรแก้ note ของเคสให้ตรง</t>
        </is>
      </c>
    </row>
    <row r="5" ht="288" customHeight="1">
      <c r="A5" s="18" t="inlineStr">
        <is>
          <t>W1</t>
        </is>
      </c>
      <c r="B5" s="18" t="n">
        <v>35</v>
      </c>
      <c r="C5" s="19" t="n">
        <v>3</v>
      </c>
      <c r="D5" s="20" t="inlineStr">
        <is>
          <t>UAT-03</t>
        </is>
      </c>
      <c r="E5" s="20" t="inlineStr">
        <is>
          <t>Login / Authentication</t>
        </is>
      </c>
      <c r="F5" s="20" t="inlineStr">
        <is>
          <t>ทั้งสองฝ่าย</t>
        </is>
      </c>
      <c r="G5" s="18" t="n"/>
      <c r="H5" s="20" t="inlineStr">
        <is>
          <t>Laddawan (ผู้อนุมัติขั้นที่ 1) ล็อกอินเข้าระบบ เห็นหน้าจอเดียวกับผู้ใช้ทั่วไป แถบบนแสดงชื่อสายงานจริงของเธอ ป้ายในตัวเลือกฝ่ายเป็นคำภาษาอังกฤษ `Pending` และตัวเลขงบของฝ่ายที่รออนุมัติเป็นแบบอ่านอย่างเดียว</t>
        </is>
      </c>
      <c r="I5" s="19" t="inlineStr">
        <is>
          <t>High</t>
        </is>
      </c>
      <c r="J5" s="20" t="inlineStr">
        <is>
          <t>มีบัญชีผู้ใช้ของ Laddawan (laddawank@chememan.com) ซึ่งเป็นผู้อนุมัติขั้นที่ 1 ของฝ่ายที่ทดสอบ · ปีที่หน้าจอแสดง = Year 2026 (ปีงบ 2027) · **ตามลำดับการรัน เคสนี้ทำรวดเดียวจบทั้ง 6 ข้อ** เพราะอยู่หลังเคส UAT-32 (กด Submit) แล้ว ฝ่าย Data &amp; Analytic จึงมีงบค้างรออนุมัติอยู่ที่ขั้นที่ 1 ของ Laddawan อยู่แล้วตั้งแต่ก่อนเริ่มเคสนี้ · ถ้าเปิดตัวเลือกฝ่ายแล้วไม่มีฝ่ายใดขึ้นป้าย `Pending` เลย แปลว่าเคส UAT-32 ยังไม่เสร็จ ให้กลับไปทำ UAT-32 ให้จบก่อนแล้วค่อยกลับมาทำเคสนี้</t>
        </is>
      </c>
      <c r="K5" s="20" t="inlineStr">
        <is>
          <t>1. เปิด URL ของระบบด้วยเบราว์เซอร์ แล้วล็อกอินด้วยบัญชี laddawank@chememan.com ที่หน้าล็อกอินของ Microsoft
2. ตรวจแถบผู้ใช้ด้านบนว่าแสดงชื่อและอีเมลของตนเอง
3. อ่านข้อความที่อยู่หลังคำว่า `สายงาน` บนแถบผู้ใช้ แล้วจดลงช่อง Actual Result ตรงตามตัวอักษร
4. เปิดตัวเลือกฝ่าย แล้วอ่านป้ายที่ติดอยู่กับฝ่ายที่ค้างรออนุมัติ — จดข้อความที่เห็นตรงตามตัวอักษร
5. เลือกฝ่ายนั้น แล้วลองคลิกเข้าไปในช่องจำนวนเงินของตารางและลองพิมพ์ตัวเลข เพื่อดูว่าแก้ไขได้หรือไม่
6. มองหาปุ่มดำเนินการของฝ่ายนั้นบนแถบอนุมัติ แล้วจดข้อความบนปุ่มที่เห็น (ยังไม่ต้องกดปุ่มใด ๆ)</t>
        </is>
      </c>
      <c r="L5" s="20" t="inlineStr">
        <is>
          <t>User: Laddawan (Approver 1) — laddawank@chememan.com
ฝ่ายที่คาดว่าจะค้างรออนุมัติ: Data &amp; Analytic ปีงบ 2027</t>
        </is>
      </c>
      <c r="M5" s="20" t="inlineStr">
        <is>
          <t>1. ล็อกอินสำเร็จ และเห็นหน้าจอเดียวกับผู้ใช้ทั่วไป — ระบบไม่มีเมนูหรือหน้ารายการรออนุมัติแยกต่างหาก
2. แถบผู้ใช้แสดง **ชื่อสายงานจริง** ของ Laddawan — ถ้าขึ้นเป็นข้อความ `ไม่ระบุสายงาน` ถือว่า Fail (ข้อนี้เคยเป็นข้อบกพร่องและแก้ไปแล้วหลังรอบ SIT จึงต้องตรวจซ้ำ)
3. ป้ายที่ติดกับฝ่ายที่ค้างอนุมัติในตัวเลือกฝ่ายเขียนว่า `Pending` เป็นภาษาอังกฤษ **ไม่ใช่** คำว่า "รออนุมัติ" — ถ้ายังเห็นเป็นคำไทย ถือว่า Fail
4. ตัวเลขงบของฝ่ายที่ค้างรออนุมัติทุกช่องเป็นแบบอ่านอย่างเดียว คลิกแล้วพิมพ์แก้ไขไม่ได้
5. เมื่อเลือกฝ่ายที่ค้างอยู่ที่ขั้นของตน จะเห็นปุ่ม `Approve` และ `Reject` ปรากฏบนแถบอนุมัติ (การกดปุ่มจริงอยู่ในเคส UAT-37 และ UAT-38 เคสนี้ตรวจแค่ว่าปุ่มมีอยู่)
— หมายเหตุสำคัญ —
อย่ากดปุ่ม `Approve` ในเคสนี้ — การอนุมัติทั้งหมดทำตามลำดับในระลอก W6 เท่านั้น เพราะสถานะ `Approved` ย้อนกลับไม่ได้ในระบบ · Laddawan เป็นทั้งผู้กรอกของฝ่าย Data &amp; Analytic และผู้อนุมัติขั้นที่ 1 ของฝ่ายเดียวกัน ดังนั้นตารางจะอ่านอย่างเดียวก็ต่อเมื่อฝ่ายนั้นถูกส่งเข้าอนุมัติแล้ว — ถ้าเปิดฝ่ายที่ยังไม่ได้ส่ง เธอจะยังกรอกได้ตามปกติ และนั่นไม่ใช่ Fail</t>
        </is>
      </c>
      <c r="N5" s="51" t="inlineStr">
        <is>
          <t>สวมสิทธิ์ laddawank → หน้าจอเดียวกับผู้ใช้ทั่วไป ไม่มีเมนูรายการรออนุมัติแยก · แถบผู้ใช้: laddawank / laddawank@chememan.com · role badge 'ผู้กรอกงบประมาณ' (เธอเป็นผู้กรอกของฝ่ายเดียวกันด้วย) · สายงาน = 'Digital Technology' (ไม่ใช่ 'ไม่ระบุสายงาน') · ฝ่าย 1 Data &amp; Analytic · 2 COST CENTERS · 10 GL CODES · เปิดตัวเลือกฝ่าย: 'Data &amp; Analytic Pending 2 CC' และ 'Solution Delivery 1 CC' — ป้าย 'Pending' เป็นภาษาอังกฤษ · เลือก Data &amp; Analytic: ช่องงบทุกช่องเป็นข้อความอ่านอย่างเดียว (0 input) ไม่มีปุ่มลบ · แถบอนุมัติ: chip 'Pending · Step 1 (Direct manager)' + 'Submitted — locked for editing until it is rejected' + ปุ่ม Reject และ Approve (ยังไม่กด)</t>
        </is>
      </c>
      <c r="O5" s="21" t="inlineStr">
        <is>
          <t>Pass</t>
        </is>
      </c>
      <c r="P5" s="22" t="n"/>
      <c r="Q5" s="22" t="n"/>
      <c r="R5" s="23" t="inlineStr">
        <is>
          <t>Laddawan</t>
        </is>
      </c>
      <c r="S5" s="24" t="n">
        <v>46274</v>
      </c>
      <c r="T5" s="51" t="inlineStr">
        <is>
          <t>[AI pre-run 09/09/2026] ผ่าน Expected ข้อ 1-5 · ข้อสังเกต: ตัวเลือกฝ่ายของ Laddawan มี Solution Delivery 1 CC ด้วย แม้แถบผู้ใช้จะบอก ฝ่าย 1 — น่าจะมาจากสิทธิ์ 'เห็น' ผ่านการเป็นผู้อนุมัติ ให้คนยืนยันว่าตั้งใจ</t>
        </is>
      </c>
    </row>
    <row r="6" ht="156" customHeight="1">
      <c r="A6" s="18" t="inlineStr">
        <is>
          <t>W1</t>
        </is>
      </c>
      <c r="B6" s="18" t="n">
        <v>3</v>
      </c>
      <c r="C6" s="19" t="n">
        <v>4</v>
      </c>
      <c r="D6" s="20" t="inlineStr">
        <is>
          <t>UAT-04</t>
        </is>
      </c>
      <c r="E6" s="20" t="inlineStr">
        <is>
          <t>Login / Authentication</t>
        </is>
      </c>
      <c r="F6" s="20" t="inlineStr">
        <is>
          <t>-</t>
        </is>
      </c>
      <c r="G6" s="18" t="n"/>
      <c r="H6" s="20" t="inlineStr">
        <is>
          <t>ออกจากระบบ (Logout) แล้วกดปุ่ม Back ของเบราว์เซอร์ ต้องไม่กลับไปเห็นข้อมูลงบเดิม</t>
        </is>
      </c>
      <c r="I6" s="19" t="inlineStr">
        <is>
          <t>Low</t>
        </is>
      </c>
      <c r="J6" s="20" t="inlineStr">
        <is>
          <t>ล็อกอินอยู่ในระบบ และเปิดหน้าจอที่มีข้อมูลงบของฝ่ายหนึ่งแสดงอยู่ เพื่อให้รู้ว่ามีข้อมูลอะไรบนจอก่อนออกจากระบบ</t>
        </is>
      </c>
      <c r="K6" s="20" t="inlineStr">
        <is>
          <t>1. ล็อกอินเข้าระบบ เลือกฝ่ายที่มีข้อมูลงบ แล้วจดตัวเลขที่เห็นบนจอไว้ 1 ค่า พร้อมชื่อ Cost Center และเดือนของค่านั้น
2. คลิกลิงก์ `ออกจากระบบ` ที่อยู่มุมขวาของแถบผู้ใช้ด้านบน
3. รอจนระบบพากลับไปหน้าล็อกอิน
4. กดปุ่ม Back ของเบราว์เซอร์ 1 ครั้ง
5. สังเกตหน้าจอที่ได้ แล้วจดลงช่อง Actual Result ว่าเห็นอะไร (หน้าล็อกอิน / หน้าเปล่า / ข้อมูลงบเดิม)</t>
        </is>
      </c>
      <c r="L6" s="20" t="inlineStr">
        <is>
          <t>-</t>
        </is>
      </c>
      <c r="M6" s="20" t="inlineStr">
        <is>
          <t>1. ระบบออกจากระบบสำเร็จและกลับไปหน้าล็อกอิน
2. เมื่อกด Back ต้องไม่กลับไปเห็นข้อมูลงบเดิม ระบบต้องบังคับให้ล็อกอินใหม่หรือแสดงหน้าล็อกอิน
3. ไม่มีตัวเลขงบของฝ่ายใดค้างอยู่บนหน้าจอหลังออกจากระบบ
— หมายเหตุสำคัญ —
ข้อสังเกตที่ยกมาจากรอบ SIT: ถ้าเปิดในหน้าต่างปกติ SSO ของบริษัทอาจพาล็อกอินกลับเข้าระบบให้เองโดยไม่ถามรหัสผ่าน ถ้าเกิดกรณีนี้ให้จดไว้ในช่อง Actual Result และยังถือว่าผ่านได้ ตราบใดที่ไม่เห็นข้อมูลงบเดิมก่อนล็อกอินสำเร็จ · ถ้าต้องการทดสอบให้ชัด ให้ทำซ้ำในหน้าต่าง InPrivate / Incognito</t>
        </is>
      </c>
      <c r="N6" s="51" t="inlineStr">
        <is>
          <t>ก่อนออก: หน้า D&amp;A Year 2026 เห็นยอด 415,900.00 / 135,500.00 · คลิก 'ออกจากระบบ' → ระบบพาไป login.microsoftonline.com หน้า 'Sign out — Pick an account: Which account do you want to sign out of? jakkaritw@chememan.com' (หน้าออกจากระบบของ Microsoft) · กด Back 1 ครั้ง → กลับมาที่ URL เดิมของแอป แต่ไม่มีตาราง ไม่มีตัวเลขงบใด ๆ · แสดงกล่อง 'หมดเวลาการเข้าใช้งาน (ระบบให้ล็อกอินได้ครั้งละ 14 ชั่วโมง) กรุณา login ใหม่อีกครั้ง' ปุ่ม 'เข้าสู่ระบบใหม่' และข้อความ 'โหลดข้อมูลผู้ใช้ไม่สำเร็จ — กรุณาลองรีเฟรชหน้าใหม่'</t>
        </is>
      </c>
      <c r="O6" s="21" t="inlineStr">
        <is>
          <t>Pass</t>
        </is>
      </c>
      <c r="P6" s="22" t="n"/>
      <c r="Q6" s="22" t="n"/>
      <c r="R6" s="23" t="inlineStr">
        <is>
          <t>ไม่ระบุชื่อในเคส (ต่อจากเคสก่อนหน้า น่าจะเป็น Pornthip)</t>
        </is>
      </c>
      <c r="S6" s="24" t="n">
        <v>46274</v>
      </c>
      <c r="T6" s="51" t="inlineStr">
        <is>
          <t>[AI pre-run 09/09/2026] ผ่านข้อ 1-3: session ของแอปถูกตัดทันทีตั้งแต่กดออก (ก่อนเลือกบัญชีในหน้า Microsoft) กด Back ไม่เห็นข้อมูลเดิม ถูกบังคับล็อกอินใหม่ · ข้อสังเกต 2 จุด: (ก) กล่องที่เห็นใช้ข้อความ 'หมดเวลาการเข้าใช้งาน … 14 ชั่วโมง' ทั้งที่ผู้ใช้เพิ่งกดออกเอง — ความหมายไม่ตรงเหตุการณ์ (ข) ตัวเลข '14 ชั่วโมง' เขียนตายตัวในข้อความ ขณะที่รอบ UAT ตั้งอายุ session ไว้ 1 ชั่วโมง → คนทำ UAT-05 จะเห็น '14 ชั่วโมง' ทั้งที่หมดเวลาจริงตอน 1 ชั่วโมง ควรอ่านค่าจากการตั้งค่า · jakkaritw ตัดสิน 2026-09-09: ข้อความ 'หมดเวลา … 14 ชั่วโมง' ตอนกดออกจากระบบ ยอมรับได้ ไม่เปิด defect</t>
        </is>
      </c>
    </row>
    <row r="7" ht="336" customHeight="1">
      <c r="A7" s="18" t="inlineStr">
        <is>
          <t>W1</t>
        </is>
      </c>
      <c r="B7" s="18" t="n">
        <v>4</v>
      </c>
      <c r="C7" s="19" t="n">
        <v>5</v>
      </c>
      <c r="D7" s="20" t="inlineStr">
        <is>
          <t>UAT-05</t>
        </is>
      </c>
      <c r="E7" s="20" t="inlineStr">
        <is>
          <t>Login / Authentication</t>
        </is>
      </c>
      <c r="F7" s="20" t="inlineStr">
        <is>
          <t>-</t>
        </is>
      </c>
      <c r="G7" s="18" t="n"/>
      <c r="H7" s="20" t="inlineStr">
        <is>
          <t>Session อายุ 1 ชั่วโมงหมดอายุ ระบบแสดงกล่อง `หมดเวลาการเข้าใช้งาน` ค่าที่พิมพ์ค้างยังแสดงบนจอแต่ต้องไม่ถูกบันทึก และเมื่อกด `เข้าสู่ระบบใหม่` ต้องกลับมาที่ฝ่ายและปีเดิม</t>
        </is>
      </c>
      <c r="I7" s="19" t="inlineStr">
        <is>
          <t>Medium</t>
        </is>
      </c>
      <c r="J7" s="20" t="inlineStr">
        <is>
          <t>ทีมพัฒนาปรับอายุ session (cookie) เป็น 1 ชั่วโมงก่อนเริ่มรอบ UAT แล้ว (ค่าจริงคือ 14 ชั่วโมง และจะคืนค่าหลังจบรอบ) · ผู้ทดสอบต้อง **ล็อกอินใหม่หลังปรับค่าแล้วเท่านั้น** เพราะอายุ session นับจากเวลาที่ล็อกอิน ไม่ได้ต่ออายุตามการใช้งาน · ทำเคสนี้กับฝ่ายและปีที่ยัง **แก้ไขได้** คือสถานะบนแถบอนุมัติเป็น `Draft — not submitted` หรือ `Rejected` (ยังไม่ได้ส่งขออนุมัติ หรือถูกตีกลับมาแล้ว) · เผื่อเวลารอไว้ 1 ชั่วโมงเต็ม</t>
        </is>
      </c>
      <c r="K7" s="20" t="inlineStr">
        <is>
          <t>1. ยืนยันกับทีมพัฒนาว่าปรับอายุ session เป็น 1 ชั่วโมงเรียบร้อยแล้ว
2. ล็อกอินใหม่ จดเวลาที่ล็อกอิน และจดฝ่ายกับปีที่กำลังเปิดอยู่ (รวมทั้ง URL บนแถบที่อยู่ของเบราว์เซอร์)
3. เลือกช่องเดือนหนึ่งในตาราง แล้วจด Cost Center / GL / เดือน และ **ตัวเลขเดิมในช่องนั้น** ไว้
4. พิมพ์ตัวเลขใหม่ลงในช่องนั้น โดย **ยังไม่คลิกออกจากช่อง**
5. ปล่อยหน้าจอทิ้งไว้จนครบ 1 ชั่วโมงนับจากเวลาที่ล็อกอินในข้อ 2
6. คลิกออกจากช่อง เพื่อให้ระบบพยายามบันทึกค่า
7. อ่านกล่องที่เด้งขึ้นมา แล้วจดข้อความในกล่องตรงตามตัวอักษรลงช่อง Actual Result
8. ลองกด Esc และลองคลิกนอกกล่อง เพื่อดูว่าปิดกล่องได้หรือไม่
9. กดปุ่ม `เข้าสู่ระบบใหม่` แล้วล็อกอินอีกครั้ง
10. เมื่อกลับเข้าระบบแล้ว ตรวจว่าอยู่ที่ฝ่ายและปีเดิมหรือไม่ แล้วเปิดดูค่าในช่องเดิม (ช่องจากข้อ 3) ว่าตอนนี้เป็นค่าใด
11. แจ้งทีมพัฒนาให้คืนค่าอายุ session เดิม (14 ชั่วโมง) หลังจบรอบ UAT</t>
        </is>
      </c>
      <c r="L7" s="20" t="inlineStr">
        <is>
          <t>อายุ session ระหว่างรอบ UAT = 1 ชั่วโมง (ค่าจริงบน production = 14 ชั่วโมง)
ช่องที่ใช้ทดสอบ: 1 ช่องเดือนของฝ่ายที่ยังแก้ไขได้ (สถานะ `Draft — not submitted` หรือ `Rejected`)
จดไว้ 2 ค่า: ค่าเดิมในช่องก่อนพิมพ์ · ค่าใหม่ที่พิมพ์ค้างไว้</t>
        </is>
      </c>
      <c r="M7" s="20" t="inlineStr">
        <is>
          <t>1. เมื่อครบ 1 ชั่วโมงแล้วสั่งบันทึก ระบบแสดงกล่องหัวข้อ `หมดเวลาการเข้าใช้งาน` และไม่ยอมบันทึกด้วย session เดิม
2. ตัวเลขที่พิมพ์ค้างไว้ยังแสดงอยู่บนหน้าจอ ไม่หายไปทันที
3. กล่องนี้มีทางออกทางเดียวคือปุ่ม `เข้าสู่ระบบใหม่` — ไม่มีปุ่มปิด กด Esc ไม่ปิด และคลิกนอกกล่องก็ไม่ปิด
4. เมื่อกด `เข้าสู่ระบบใหม่` และล็อกอินเสร็จ ระบบพากลับมาที่ฝ่ายและปีงบเดิม (URL เดิม)
5. ค่าที่พิมพ์ค้างตอน session หมดอายุ **ต้องไม่ถูกบันทึก** — ช่องนั้นต้องกลับมาแสดงค่าเดิมก่อนพิมพ์ตามที่จดไว้ในข้อ 3 ของ Test Steps · ถ้าค่ากลายเป็นตัวเลขที่พิมพ์ค้าง ถือว่า Fail
6. ข้อความในกล่องจะเขียนว่า "ระบบให้ล็อกอินได้ครั้งละ 14 ชั่วโมง" ทั้งที่ตั้งค่าไว้ 1 ชั่วโมง — ให้จดไว้เฉย ๆ ถือว่าถูกต้องตามที่ตัดสินแล้ว ไม่ถือเป็นข้อผิดพลาด
— หมายเหตุสำคัญ —
KNOWN ISSUE ที่ไม่ต้องแจ้งเป็น defect: ข้อความ "14 ชั่วโมง" ในกล่อง `หมดเวลาการเข้าใช้งาน` ไม่ตรงกับอายุ session 1 ชั่วโมงที่ตั้งไว้ระหว่าง UAT — ตัดสินแล้วว่ายอมรับ (jakkaritw 2026-09-06) ห้ามเปิด Defect ข้อนี้ · เคสนี้ต้องรอ 1 ชั่วโมงเต็ม แนะนำให้เริ่มไว้แล้วไปทำเคสอื่นในเครื่อง/เบราว์เซอร์อีกตัวระหว่างรอ · อย่าลืมแจ้งทีมพัฒนาให้คืนค่าอายุ session เป็น 14 ชั่วโมงหลังจบรอบ UAT</t>
        </is>
      </c>
      <c r="N7" s="51" t="inlineStr">
        <is>
          <t>ข้อ 1-2: ทีมพัฒนายืนยันอายุ session = 1 ชั่วโมงในรอบ UAT · ล็อกอิน 16:22 (jakkaritw สวมสิทธิ์ Pornthip) เปิดฝ่าย Solution Delivery Year 2026 URL /?dept=Solution%20Delivery&amp;year=2026 · ข้อ 3-4: ช่อง 10IT012000 / GL 6210900060 / ก.พ. ค่าเดิม 0 (ยอดปี 10,000.00) พิมพ์ 200 เมื่อ 17:08 โดยไม่คลิกออก · ข้อ 5: เฝ้าทุก 1 นาที — /me ตอบ 200 จนถึง 17:22:06 และตอบ redirect (session ตาย) ที่ 17:23:06 = อายุจริง ~61 นาทีนับจาก 16:22 · ระหว่างที่ยังไม่บันทึก หน้าจอไม่เด้งกล่องเอง ค่า 200 ยังค้างในช่อง · ข้อ 6-7: คลิกออกจากช่อง 17:23:11 → ระบบไม่บันทึก ขึ้นกล่องทันที หัวข้อ 'หมดเวลาการเข้าใช้งาน' ข้อความ (คำต่อคำ) 'หมดเวลาการเข้าใช้งาน (ระบบให้ล็อกอินได้ครั้งละ 14 ชั่วโมง) กรุณา login ใหม่อีกครั้ง' ปุ่มเดียว 'เข้าสู่ระบบใหม่' · ตัวเลข 200 ที่พิมพ์ยังแสดงอยู่บนจอด้านหลังกล่อง · ข้อ 8: กด Esc → กล่องยังอยู่ · คลิกนอกกล่อง (พื้นหลังมืด) → กล่องยังอยู่ · ไม่มีปุ่มปิด/✕ · ข้อ 9: กด 'เข้าสู่ระบบใหม่' → ไปหน้า login.microsoftonline.com โดย state=redir ชี้กลับมาที่ URL เดิม (/?dept=Solution%20Delivery&amp;year=2026) · เบราว์เซอร์ทดสอบยังถือ cookie ของ Microsoft อยู่ จึงล็อกอินผ่านอัตโนมัติ (SSO) ไม่ต้องกรอกรหัส · ข้อ 10: กลับมาที่ฝ่าย Solution Delivery ปี Year 2026 URL เดิมทันที /me = 200 · ช่อง ก.พ. ของ 6210900060 = 0 (ค่า 200 ไม่ถูกบันทึก) ยอดปี 10,000.00 เท่าเดิม</t>
        </is>
      </c>
      <c r="O7" s="21" t="inlineStr">
        <is>
          <t>Pass</t>
        </is>
      </c>
      <c r="P7" s="22" t="n"/>
      <c r="Q7" s="22" t="n"/>
      <c r="R7" s="23" t="inlineStr">
        <is>
          <t>ไม่ระบุชื่อในเคส (แนะนำ Pornthip เพราะฝ่ายเธอยังแก้ไขได้)</t>
        </is>
      </c>
      <c r="S7" s="24" t="n">
        <v>46274</v>
      </c>
      <c r="T7" s="51" t="inlineStr">
        <is>
          <t>[AI pre-run 09/09/2026] ผ่านทุกข้อ (1-4 ตาม Expected) · ข้อสังเกตที่รับไว้แล้วใน UAT-04: ข้อความในกล่องบอก '14 ชั่วโมง' ตายตัว ทั้งที่รอบนี้หมดอายุจริงที่ ~1 ชั่วโมง · ข้อ 9 ในเครื่องผู้ทดสอบจริงอาจเห็นหน้ากรอกรหัสของ Microsoft แทน SSO อัตโนมัติ — ปลายทางเดียวกัน · ข้อ 11 (คืนอายุ session เป็น 14 ชั่วโมง) อยู่ใน tracker uat-post-run-reset</t>
        </is>
      </c>
    </row>
    <row r="8" ht="204" customHeight="1">
      <c r="A8" s="18" t="inlineStr">
        <is>
          <t>W2</t>
        </is>
      </c>
      <c r="B8" s="18" t="n">
        <v>5</v>
      </c>
      <c r="C8" s="19" t="n">
        <v>6</v>
      </c>
      <c r="D8" s="20" t="inlineStr">
        <is>
          <t>UAT-06</t>
        </is>
      </c>
      <c r="E8" s="20" t="inlineStr">
        <is>
          <t>Budget Entry (Filler)</t>
        </is>
      </c>
      <c r="F8" s="20" t="inlineStr">
        <is>
          <t>Data &amp; Analytic</t>
        </is>
      </c>
      <c r="G8" s="18" t="n"/>
      <c r="H8" s="20" t="inlineStr">
        <is>
          <t>เปิดตารางกรอกงบของฝ่าย Data &amp; Analytic แล้วตรวจว่าตารางแสดงครบทั้ง 2 ฝั่ง 3 ชั้นข้อมูลต่อแถว 12 เดือน และคอลัมน์ รวมทั้งปี</t>
        </is>
      </c>
      <c r="I8" s="19" t="inlineStr">
        <is>
          <t>High</t>
        </is>
      </c>
      <c r="J8" s="20" t="inlineStr">
        <is>
          <t>ล็อกอินเป็น Pornthip (pornthipp@chememan.com) ซึ่งเป็นผู้กรอกงบประมาณของฝ่าย Data &amp; Analytic · เปิดระบบจริง (production) · ฝ่าย Data &amp; Analytic มี 2 Cost Center คือ 10IT011300 และ 10IT013000 · ปีงบประมาณ 2027 เป็นปีเดียวที่เปิดรับกรอก และหน้าจอจะแสดงปีนี้เป็น `Year 2026`</t>
        </is>
      </c>
      <c r="K8" s="20" t="inlineStr">
        <is>
          <t>1. เปิด URL ของระบบด้วยเบราว์เซอร์ Chrome แล้วล็อกอินด้วยบัญชีของ Pornthip
2. ที่ toolbar เลือกฝ่าย `Data &amp; Analytic` และเลือกปี `Year 2026`
3. รอให้ตารางโหลดเสร็จ แล้วอ่านหัวตารางทั้งสองฝั่ง จดชื่อที่เห็นลงช่อง Actual Result
4. เลือกแถวใดแถวหนึ่ง แล้วนับว่าในแถวนั้นมีชั้นข้อมูลซ้อนกันกี่ชั้น และจดชื่อของแต่ละชั้น
5. ไล่อ่านหัวคอลัมน์เดือนตั้งแต่ Jan ถึง Dec แล้วนับว่าครบ 12 เดือนหรือไม่ และดูว่ามีคอลัมน์ `รวมทั้งปี` ต่อท้าย
6. เลื่อนลงไปท้ายแต่ละกลุ่ม GL ดูยอดรวมย่อยของกลุ่ม และเลื่อนไปท้ายตารางดูยอดรวมใหญ่ของฝั่งนั้น
7. ตรวจว่า Cost Center ที่ปรากฏในตารางมีเฉพาะ 10IT011300 และ 10IT013000 ตามสิทธิ์จริง</t>
        </is>
      </c>
      <c r="L8" s="20" t="inlineStr">
        <is>
          <t>ฝ่าย: Data &amp; Analytic
ปีที่หน้าจอแสดง: Year 2026 (= ปีงบประมาณ 2027)
Cost Center ที่คาดว่าจะเห็น: 10IT011300 และ 10IT013000</t>
        </is>
      </c>
      <c r="M8" s="20" t="inlineStr">
        <is>
          <t>1. ตารางแบ่งเป็น 2 ฝั่ง คือ `ฝั่งผลิต / ต้นทุน (5xxx)` และ `ฝั่งบริหาร / ขาย · SG&amp;A (6xxx)`
2. แต่ละแถว (คู่ Cost Center + GL) มีชั้นข้อมูลซ้อนกัน 3 ชั้น คือ `SAP · ใช้จริง` / `Approved · งบ` / `Pending`
3. มีช่องเดือนครบ 12 เดือน Jan ถึง Dec และมีคอลัมน์ `รวมทั้งปี` ต่อท้าย
4. มียอดรวมย่อยของแต่ละกลุ่ม GL และมียอดรวมใหญ่ท้ายตารางของแต่ละฝั่ง
5. ตารางแสดงเฉพาะ Cost Center และ GL ที่อยู่ในสิทธิ์ของ Pornthip ไม่มีฝ่ายอื่นปน
— หมายเหตุสำคัญ —
เคสนี้เป็นการดูอย่างเดียว ยังไม่ต้องกรอกตัวเลข ให้ทำก่อนเคสอื่นใน wave นี้ เพราะเคสถัดไปอ้างชื่อฝั่งตารางและชื่อชั้นข้อมูลจากเคสนี้</t>
        </is>
      </c>
      <c r="N8" s="51" t="inlineStr">
        <is>
          <t>หัวตาราง: เห็นฝั่งเดียวคือ 'ฝั่งบริหาร / ขาย · SG&amp;A (6xxx)' — ฝั่ง 'ฝั่งผลิต / ต้นทุน (5xxx)' ไม่แสดงเพราะ Data &amp; Analytic ไม่มีแถว GL 5xxx เลย · แต่ละแถวมี 3 ชั้น: SAP · ใช้จริง / APPROVED · งบ / PENDING · รออนุมัติ · หัวเดือน Jan–Dec ครบ 12 และมีคอลัมน์ รวมทั้งปี (Jan–Dec) นำหน้า · ยอดรวมย่อยต่อกลุ่ม: รวม Maintenance - License for software · Pending, รวม Other admin. Expenses · Pending, รวม Travelling Expense · Pending · ยอดรวมใหญ่: รวมทั้งหมด · SAP · ใช้จริง (Jan–Mar) / Approved · งบ / Pending · รออนุมัติ · Cost Center ที่ปรากฏ: 10IT013000 เท่านั้น (GL 6211100110, 6211400010, 6210400010) ไม่มีฝ่ายอื่นปน</t>
        </is>
      </c>
      <c r="O8" s="21" t="inlineStr">
        <is>
          <t>Pass</t>
        </is>
      </c>
      <c r="P8" s="22" t="n"/>
      <c r="Q8" s="22" t="n"/>
      <c r="R8" s="23" t="inlineStr">
        <is>
          <t>Pornthip</t>
        </is>
      </c>
      <c r="S8" s="24" t="n">
        <v>46274</v>
      </c>
      <c r="T8" s="51" t="inlineStr">
        <is>
          <t>[AI pre-run 09/09/2026] ผ่านข้อ 2-5 · ข้อ 1 (ต้องเห็น 2 ฝั่ง): เห็นฝั่งเดียว — ยืนยันจากโค้ด GridTable.tsx:1156 ว่าฝั่งที่ไม่มีแถวถูกซ่อนโดยตั้งใจ จึงไม่ใช่ defect แต่ Expected ข้อ 1 ควรเขียนเพิ่มว่า 'ฝั่งที่ไม่มีแถวจะไม่แสดง' · 10IT011300 ไม่ปรากฏเพราะยังไม่มีแถวใด ๆ (ทั้ง Pending และ SAP) — ตรงเงื่อนไข 'มีเฉพาะ' แต่ควรให้คนยืนยันว่าถูกต้องตามสิทธิ์จริง</t>
        </is>
      </c>
    </row>
    <row r="9" ht="240" customHeight="1">
      <c r="A9" s="18" t="inlineStr">
        <is>
          <t>W2</t>
        </is>
      </c>
      <c r="B9" s="18" t="n">
        <v>6</v>
      </c>
      <c r="C9" s="19" t="n">
        <v>7</v>
      </c>
      <c r="D9" s="20" t="inlineStr">
        <is>
          <t>UAT-07</t>
        </is>
      </c>
      <c r="E9" s="20" t="inlineStr">
        <is>
          <t>Budget Entry (Filler)</t>
        </is>
      </c>
      <c r="F9" s="20" t="inlineStr">
        <is>
          <t>Data &amp; Analytic</t>
        </is>
      </c>
      <c r="G9" s="18" t="n"/>
      <c r="H9" s="20" t="inlineStr">
        <is>
          <t>ตรวจว่าชั้น `SAP` และชั้น `Approved` แสดงข้อมูลของปีที่วางแผนลบหนึ่ง ป้ายปีบนคำอธิบายตรงกัน ทั้งสองชั้นแก้ไขไม่ได้ และแถวที่มีเฉพาะ Approved ยังต้องปรากฏ</t>
        </is>
      </c>
      <c r="I9" s="19" t="inlineStr">
        <is>
          <t>High</t>
        </is>
      </c>
      <c r="J9" s="20" t="inlineStr">
        <is>
          <t>ล็อกอินเป็น Pornthip และเปิดตารางของฝ่าย `Data &amp; Analytic` ปี `Year 2026` (ปีงบประมาณ 2027) ไว้แล้ว · ปีที่วางแผนของรอบนี้คือ 2027 ดังนั้นชั้น SAP และชั้น Approved ต้องเป็นข้อมูลของปี 2026</t>
        </is>
      </c>
      <c r="K9" s="20" t="inlineStr">
        <is>
          <t>1. เปิดตารางของฝ่าย `Data &amp; Analytic` ปี `Year 2026`
2. อ่านคำอธิบายชั้นข้อมูล (legend) เหนือตาราง แล้วจดปีที่กำกับไว้บนชั้น `SAP · ใช้จริง` และบนชั้น `Approved · งบ` ลงช่อง Actual Result
3. คลิกลงไปในช่องเดือนของชั้น `SAP` แล้วลองพิมพ์ตัวเลขทับ
4. คลิกลงไปในช่องเดือนของชั้น `Approved` แล้วลองพิมพ์ตัวเลขทับ
5. ไล่สายตาดูทีละแถวทั้งสองฝั่งของตาราง (กดปุ่มเต็มจอ `⤢` จะเห็นแถวได้มากขึ้น) เพื่อหาแถวที่มีตัวเลขเฉพาะชั้น `Approved` โดยที่ชั้น `SAP` และชั้น `Pending` ว่าง — ช่องกรองด้านบนตารางกรองได้เฉพาะ Cost Center / GL / GL Group / Remark / Status กรองตามชั้นข้อมูลไม่ได้ จึงต้องไล่ดูด้วยตา
6. จดเลข GL และเลข Cost Center ของแถวลักษณะนั้นลงช่อง Actual Result (ถ้าไม่พบให้บันทึกว่าไม่พบ)</t>
        </is>
      </c>
      <c r="L9" s="20" t="inlineStr">
        <is>
          <t>ปีที่วางแผน = 2027 → ชั้น `SAP · ใช้จริง` และ `Approved · งบ` ต้องเป็นข้อมูลของปี 2026
ชั้น `Pending` เท่านั้นที่เป็นปี 2027</t>
        </is>
      </c>
      <c r="M9" s="20" t="inlineStr">
        <is>
          <t>1. ป้ายปีที่กำกับชั้น `SAP · ใช้จริง` และชั้น `Approved · งบ` เป็นปีที่วางแผนลบหนึ่ง คือปี 2026 และตรงกันทั้งบนคำอธิบายและในตาราง
2. ชั้น `SAP` แก้ไขไม่ได้ พิมพ์ทับไม่ได้
3. ชั้น `Approved` แก้ไขไม่ได้ พิมพ์ทับไม่ได้
4. แถวที่มีตัวเลขเฉพาะชั้น `Approved` โดยไม่มีข้อมูล SAP และไม่มี Pending ต้องยังปรากฏในตาราง ไม่ถูกซ่อนหายไป
5. ถ้าค้นแล้วไม่พบแถวลักษณะข้อ 4 ในฝ่ายนี้ ให้บันทึกลงช่อง Actual Result ว่าไม่พบ อย่าเดาผลเป็น Pass
— หมายเหตุสำคัญ —
ชั้น SAP และชั้น Approved เป็นข้อมูลของปีก่อนโดยการออกแบบ ผู้กรอกใช้เป็นฐานในการวางแผนปีหน้า ไม่ใช่ข้อผิดพลาด · ถ้าปีที่กำกับไม่ใช่ 2026 นั่นคือของจริงที่ต้องแจ้งเป็น defect</t>
        </is>
      </c>
      <c r="N9" s="51" t="inlineStr">
        <is>
          <t>legend: 'SAP · ใช้จริง (2026)' และ 'Approved · งบอนุมัติ (2026)' = ปีวางแผน 2027 ลบหนึ่ง ตรงกัน · ชั้น SAP เป็นเซลล์ข้อความ (data-testid sap-value-*) ไม่มี input พิมพ์ทับไม่ได้ · ชั้น Approved เป็นเซลล์ข้อความ (board-value-*) ไม่มี input พิมพ์ทับไม่ได้ · ข้อ 5-6: ไล่ทุกแถวของ Data &amp; Analytic แล้ว ไม่พบแถวที่มีตัวเลขเฉพาะชั้น Approved — ชั้น Approved ว่างทุกแถว (รวมทั้งหมด · Approved · งบ = —)</t>
        </is>
      </c>
      <c r="O9" s="21" t="inlineStr">
        <is>
          <t>Pass</t>
        </is>
      </c>
      <c r="P9" s="22" t="n"/>
      <c r="Q9" s="22" t="n"/>
      <c r="R9" s="23" t="inlineStr">
        <is>
          <t>Pornthip</t>
        </is>
      </c>
      <c r="S9" s="24" t="n">
        <v>46274</v>
      </c>
      <c r="T9" s="51" t="inlineStr">
        <is>
          <t>[AI pre-run 09/09/2026] ข้อ 1-3 ผ่าน · ข้อ 4 ตรวจไม่ได้ในฝ่ายนี้เพราะไม่มีแถว Approved-only เลย บันทึกว่า 'ไม่พบ' ตาม Expected ข้อ 5 ไม่ถือเป็น Fail · ถ้าต้องการพิสูจน์ข้อ 4 จริง ต้องใช้ฝ่ายที่มีข้อมูล board_budget ปี 2026</t>
        </is>
      </c>
    </row>
    <row r="10" ht="228" customHeight="1">
      <c r="A10" s="18" t="inlineStr">
        <is>
          <t>W2</t>
        </is>
      </c>
      <c r="B10" s="18" t="n">
        <v>7</v>
      </c>
      <c r="C10" s="19" t="n">
        <v>8</v>
      </c>
      <c r="D10" s="20" t="inlineStr">
        <is>
          <t>UAT-08</t>
        </is>
      </c>
      <c r="E10" s="20" t="inlineStr">
        <is>
          <t>Budget Entry (Filler)</t>
        </is>
      </c>
      <c r="F10" s="20" t="inlineStr">
        <is>
          <t>Data &amp; Analytic</t>
        </is>
      </c>
      <c r="G10" s="18" t="n"/>
      <c r="H10" s="20" t="inlineStr">
        <is>
          <t>ตรวจว่าเดือนที่ข้อมูล SAP ยังไม่ครบแสดงเป็นขีด `–` พร้อมคำอธิบายเมื่อเอาเมาส์วาง และยอดรวมทั้งปีของชั้น SAP มีข้อความกำกับว่านับเฉพาะเดือนที่ข้อมูลครบ</t>
        </is>
      </c>
      <c r="I10" s="19" t="inlineStr">
        <is>
          <t>Low</t>
        </is>
      </c>
      <c r="J10" s="20" t="inlineStr">
        <is>
          <t>ล็อกอินเป็น Pornthip และเปิดตารางของฝ่าย `Data &amp; Analytic` ปี `Year 2026` ไว้แล้ว · ระบบจะซ่อนตัวเลข SAP ของเดือนที่ข้อมูลยังเข้ามาไม่ครบ ซึ่งเป็นกติกาที่ตั้งใจให้เป็น</t>
        </is>
      </c>
      <c r="K10" s="20" t="inlineStr">
        <is>
          <t>1. เปิดตารางของฝ่าย `Data &amp; Analytic` ปี `Year 2026`
2. ไล่ดูชั้น `SAP · ใช้จริง` ทั้ง 12 เดือน หาช่องที่แสดงเป็นขีด `–` แทนตัวเลข
3. เอาเมาส์ไปวางค้างบนขีด `–` แล้วอ่านข้อความที่ขึ้นมา คัดลอกลงช่อง Actual Result
4. เอาเมาส์ไปวางค้างบนยอด `รวมทั้งปี` ของชั้น `SAP` — ข้อความกำกับเป็นคำอธิบายที่ขึ้นเมื่อวางเมาส์ ไม่ได้พิมพ์ไว้บนหน้าจอ จึงต้องวางเมาส์ค้างจึงจะเห็น แล้วคัดลอกข้อความที่ขึ้นมาลงช่อง Actual Result
5. จดว่าเดือนไหนบ้างที่แสดงเป็นขีด</t>
        </is>
      </c>
      <c r="L10" s="20" t="inlineStr">
        <is>
          <t>ชั้นที่ตรวจ: `SAP · ใช้จริง` ของฝ่าย Data &amp; Analytic
สิ่งที่มองหา: ช่องเดือนที่แสดงเป็นขีด `–` แทนตัวเลข</t>
        </is>
      </c>
      <c r="M10" s="20" t="inlineStr">
        <is>
          <t>1. ช่องเดือนที่ข้อมูล SAP ยังไม่ครบแสดงเป็นขีด `–` ไม่ใช่เลข 0 (เพื่อไม่ให้ผู้ใช้เข้าใจผิดว่าเดือนนั้นไม่มีค่าใช้จ่าย)
2. เอาเมาส์วางบนขีดแล้วขึ้นข้อความ `ข้อมูล SAP เดือนนี้ยังไม่ครบ จึงยังไม่แสดง`
3. เอาเมาส์วางค้างบนยอด `รวมทั้งปี` ของชั้น SAP แล้วขึ้นข้อความกำกับว่า `รวมเฉพาะเดือนที่ข้อมูลครบ:` ตามด้วยช่วงเดือนที่นับรวมไว้
4. ผู้ทดสอบอ่านแล้วเข้าใจว่าทำไมเดือนนั้นไม่มีตัวเลข — ถ้าอ่านแล้วยังงง ให้เขียนคำที่อยากให้แก้ลงช่อง Remarks
5. ถ้าทุกเดือนของฝ่ายนี้มีข้อมูลครบจนไม่พบขีด `–` เลย ให้บันทึกผลเป็น N/A พร้อมระบุเหตุผล ไม่ต้องนับเป็น Fail
— หมายเหตุสำคัญ —
เคสนี้ตรวจว่าผู้ใช้เข้าใจการซ่อนข้อมูลหรือไม่ ไม่ใช่การกระทบยอด SAP กับ SAP ซึ่งอยู่นอกขอบเขตของ UAT รอบนี้</t>
        </is>
      </c>
      <c r="N10" s="51" t="inlineStr">
        <is>
          <t>ชั้น SAP: เดือน Apr–Dec (m04–m12) แสดงเป็นขีด '–' (ข้อมูลยังไม่ครบ) · Jan–Feb แสดง '—' (ครบแต่เป็นศูนย์) · Mar มีตัวเลข 844.91 / 500.00 · tooltip บนขีด = 'ข้อมูล SAP เดือนนี้ยังไม่ครบ จึงยังไม่แสดง' · tooltip บนยอดรวมทั้งปีชั้น SAP = 'รวมเฉพาะเดือนที่ข้อมูลครบ: Jan–Mar' และหัวยอดรวมใหญ่เขียน 'รวมทั้งหมด · SAP · ใช้จริง (Jan–Mar)'</t>
        </is>
      </c>
      <c r="O10" s="21" t="inlineStr">
        <is>
          <t>Pass</t>
        </is>
      </c>
      <c r="P10" s="22" t="n"/>
      <c r="Q10" s="22" t="n"/>
      <c r="R10" s="23" t="inlineStr">
        <is>
          <t>Pornthip</t>
        </is>
      </c>
      <c r="S10" s="24" t="n">
        <v>46274</v>
      </c>
      <c r="T10" s="51" t="inlineStr">
        <is>
          <t>[AI pre-run 09/09/2026] ข้อ 1-3 ตรงตาม Expected ทุกตัวอักษร · ข้อ 4 เป็นความเห็นของคนว่าอ่านแล้วเข้าใจไหม — AI ไม่ตัดสินแทน ให้ผู้ทดสอบยืนยันแล้วเปลี่ยน Status เป็น Pass เอง · jakkaritw ตัดสิน 2026-09-09: อ่านเข้าใจ / ยอมรับได้ → Pass</t>
        </is>
      </c>
    </row>
    <row r="11" ht="216" customHeight="1">
      <c r="A11" s="18" t="inlineStr">
        <is>
          <t>W2</t>
        </is>
      </c>
      <c r="B11" s="18" t="n">
        <v>8</v>
      </c>
      <c r="C11" s="19" t="n">
        <v>9</v>
      </c>
      <c r="D11" s="20" t="inlineStr">
        <is>
          <t>UAT-09</t>
        </is>
      </c>
      <c r="E11" s="20" t="inlineStr">
        <is>
          <t>Budget Entry (Filler)</t>
        </is>
      </c>
      <c r="F11" s="20" t="inlineStr">
        <is>
          <t>Data &amp; Analytic</t>
        </is>
      </c>
      <c r="G11" s="18" t="n"/>
      <c r="H11" s="20" t="inlineStr">
        <is>
          <t>กรอกจำนวนเงินในช่องเดือนแล้วคลิกออกจากช่อง ระบบต้องบันทึกให้อัตโนมัติโดยไม่มีปุ่ม Save และค่ายังอยู่หลังโหลดหน้าใหม่</t>
        </is>
      </c>
      <c r="I11" s="19" t="inlineStr">
        <is>
          <t>High</t>
        </is>
      </c>
      <c r="J11" s="20" t="inlineStr">
        <is>
          <t>ล็อกอินเป็น Pornthip · อยู่ในตารางกรอกงบของฝ่าย `Data &amp; Analytic` ปี `Year 2026` ซึ่งยังแก้ไขได้ (ยังไม่ได้ส่งขออนุมัติในรอบนี้ หรือเคยถูกตีกลับมาแล้วจึงยังกรอกได้) · ทีมทดสอบตกลงกันแล้วว่าจะใช้แถวไหนและเดือนไหนเป็นช่องทดสอบ</t>
        </is>
      </c>
      <c r="K11" s="20" t="inlineStr">
        <is>
          <t>1. เลือกช่องเดือนหนึ่งในชั้น `Pending` ของ Cost Center 10IT011300 แล้วจดค่าเดิมในช่องนั้นไว้ก่อน
2. พิมพ์จำนวนเงินลงในช่อง
3. คลิกนอกช่อง — ระบบไม่มีปุ่ม Save การบันทึกเกิดขึ้นเองเมื่อคลิกออกจากช่อง
4. รอจนข้อความ `กำลังบันทึก…` แสดงขึ้นแล้วหายไปเอง
5. กด refresh โหลดหน้าใหม่ทั้งหน้า
6. กลับมาดูช่องเดิมว่าค่ายังอยู่หรือไม่
7. จดป้ายสถานะของฝ่ายที่แสดงอยู่บนแถบอนุมัติลงช่อง Actual Result</t>
        </is>
      </c>
      <c r="L11" s="20" t="inlineStr">
        <is>
          <t>จำนวนเงินที่ใช้ทดสอบ: 100,000 หรือ 250,000
(ให้เลือกจำนวนที่ลงท้ายด้วย 00 เพราะระบบปัดค่าเป็นหลักร้อย — กติกาการปัดจะถูกทดสอบแยกในเคส UAT-12)</t>
        </is>
      </c>
      <c r="M11" s="20" t="inlineStr">
        <is>
          <t>1. พิมพ์แล้วคลิกออกจากช่อง ระบบบันทึกให้เอง โดยไม่มีปุ่ม Save ให้กด
2. ข้อความ `กำลังบันทึก…` ขึ้นระหว่างบันทึกแล้วหายไปเองเมื่อบันทึกเสร็จ
3. หลังโหลดหน้าใหม่ ค่าที่กรอกยังอยู่ครบ ไม่หายและไม่กลับไปเป็นค่าเดิม
4. ป้ายสถานะของฝ่ายบนแถบอนุมัติแสดงเป็นภาษาอังกฤษ ไม่ใช่ข้อความไทยแบบเดิม — ถ้าฝ่ายนี้ยังไม่เคยส่งขออนุมัติในรอบปีนี้ ป้ายต้องเป็น `Draft — not submitted` · ถ้าฝ่ายเคยถูกตีกลับมาก่อน ป้ายจะเป็นข้อความภาษาอังกฤษอีกแบบหนึ่ง ให้จดข้อความที่เห็นจริงลงช่อง Actual Result ทั้งสองกรณีถือว่าผ่านตราบใดที่ยังกรอกและแก้ไขได้
— หมายเหตุสำคัญ —
UAT รอบนี้รันบนระบบจริง ค่าที่กรอกถูกเขียนลงฐานข้อมูลจริงของปีงบประมาณ 2027 · เมื่อทดสอบเสร็จให้แก้ค่ากลับเป็นตัวเลขที่ฝ่ายต้องการใช้จริง</t>
        </is>
      </c>
      <c r="N11" s="51" t="inlineStr">
        <is>
          <t>ช่องทดสอบ: Pending ของ 10IT013000 / 6211100110 เดือน Jan ค่าเดิม 0 · พิมพ์ 100000 แล้วออกจากช่อง (Tab) ไม่มีปุ่ม Save · รวมทั้งปีของแถวขึ้นเป็น 100,000.00 ทันที · reload ทั้งหน้าแล้วช่อง Jan ยังเป็น 100000 รวมทั้งปี 100,000.00 · ป้ายสถานะบนแถบอนุมัติ = 'Draft — not submitted' (อังกฤษ) และยังกรอกได้</t>
        </is>
      </c>
      <c r="O11" s="21" t="inlineStr">
        <is>
          <t>Pass</t>
        </is>
      </c>
      <c r="P11" s="22" t="n"/>
      <c r="Q11" s="22" t="n"/>
      <c r="R11" s="23" t="inlineStr">
        <is>
          <t>Pornthip</t>
        </is>
      </c>
      <c r="S11" s="24" t="n">
        <v>46274</v>
      </c>
      <c r="T11" s="51" t="inlineStr">
        <is>
          <t>[AI pre-run 09/09/2026] ผ่านข้อ 1, 3, 4 · ข้อ 2 (ข้อความ 'กำลังบันทึก…' ขึ้นแล้วหายเอง) automation อ่านหน้าจอไม่ทันช่วงสั้น ๆ นั้น จึงยังไม่ได้ยืนยันด้วยตา — ให้ผู้ทดสอบสังเกตในรอบจริง · เบี่ยงเบนจาก step 1: เคสระบุให้ใช้ Cost Center 10IT011300 แต่ CC นั้นไม่มีแถวใดในตารางเลย (ยังไม่ได้เพิ่มรายการ) จึงใช้ 10IT013000 แทน — ควรแก้เคสให้เพิ่มแถวก่อน หรือระบุ 10IT013000</t>
        </is>
      </c>
    </row>
    <row r="12" ht="204" customHeight="1">
      <c r="A12" s="18" t="inlineStr">
        <is>
          <t>W2</t>
        </is>
      </c>
      <c r="B12" s="18" t="n">
        <v>9</v>
      </c>
      <c r="C12" s="19" t="n">
        <v>10</v>
      </c>
      <c r="D12" s="20" t="inlineStr">
        <is>
          <t>UAT-10</t>
        </is>
      </c>
      <c r="E12" s="20" t="inlineStr">
        <is>
          <t>Budget Entry (Filler)</t>
        </is>
      </c>
      <c r="F12" s="20" t="inlineStr">
        <is>
          <t>Data &amp; Analytic</t>
        </is>
      </c>
      <c r="G12" s="18" t="n"/>
      <c r="H12" s="20" t="inlineStr">
        <is>
          <t>ตรวจว่ายอด `รวมทั้งปี` ของแถว ยอดรวมย่อยของกลุ่ม GL และยอดรวมใหญ่ของฝั่งตาราง คำนวณถูกต้องและขยับทันทีที่กรอก</t>
        </is>
      </c>
      <c r="I12" s="19" t="inlineStr">
        <is>
          <t>High</t>
        </is>
      </c>
      <c r="J12" s="20" t="inlineStr">
        <is>
          <t>ล็อกอินเป็น Pornthip · อยู่ในตารางกรอกงบของฝ่าย `Data &amp; Analytic` ปี `Year 2026` ที่ยังแก้ไขได้ · เตรียมเครื่องคิดเลขไว้บวกเลขเทียบกับที่ระบบแสดง</t>
        </is>
      </c>
      <c r="K12" s="20" t="inlineStr">
        <is>
          <t>1. เลือกแถวหนึ่งในชั้น `Pending` แล้วจดค่า 3 อย่างไว้ก่อนเริ่ม คือ ยอด `รวมทั้งปี` ของแถวนั้น ยอดรวมย่อยของกลุ่ม GL ที่แถวนี้อยู่ และยอดรวมใหญ่ท้ายฝั่งตาราง
2. กรอก 10,000 ลงช่องเดือนแรกที่ว่าง แล้วคลิกออกจากช่อง
3. กรอก 20,000 ลงช่องเดือนถัดไป แล้วคลิกออกจากช่อง
4. กรอก 5,500 ลงช่องเดือนถัดไปอีกช่อง แล้วคลิกออกจากช่อง
5. อ่านยอด `รวมทั้งปี` ของแถวนั้น แล้วเทียบกับผลบวกที่คำนวณด้วยเครื่องคิดเลข
6. อ่านยอดรวมย่อยของกลุ่ม GL และยอดรวมใหญ่ท้ายฝั่งตารางอีกครั้ง แล้วเทียบกับค่าที่จดไว้ในข้อ 1
7. จดตัวเลขทั้งก่อนและหลังกรอกลงช่อง Actual Result</t>
        </is>
      </c>
      <c r="L12" s="20" t="inlineStr">
        <is>
          <t>10,000 + 20,000 + 5,500 = 35,500
(ทุกจำนวนลงท้ายด้วย 00 อยู่แล้ว จึงไม่ถูกกติกาการปัดหลักร้อยเปลี่ยนค่า)</t>
        </is>
      </c>
      <c r="M12" s="20" t="inlineStr">
        <is>
          <t>1. ยอด `รวมทั้งปี` ของแถวนั้นเพิ่มขึ้น 35,500 จากค่าที่จดไว้ก่อนเริ่ม
2. ยอดรวมย่อยของกลุ่ม GL ที่แถวนี้อยู่ เพิ่มขึ้น 35,500 เท่ากัน
3. ยอดรวมใหญ่ท้ายฝั่งตาราง เพิ่มขึ้น 35,500 เท่ากัน
4. ตัวเลขทั้ง 3 จุดขยับให้เห็นทันทีโดยไม่ต้องโหลดหน้าใหม่
5. ตัวเลขแสดงคั่นหลักพันอ่านง่าย ไม่มีจุดใดที่ผลบวกเพี้ยนจากเครื่องคิดเลข
— หมายเหตุสำคัญ —
ตัวเลขที่กรอกในเคสนี้ถูกบันทึกลงระบบจริง เมื่อทดสอบเสร็จให้แก้กลับเป็นตัวเลขที่ฝ่ายต้องการใช้จริง</t>
        </is>
      </c>
      <c r="N12" s="51" t="inlineStr">
        <is>
          <t>แถว 10IT013000 / 6211100110 · ก่อน: รวมทั้งปี 100,000.00 / รวมกลุ่ม Maintenance - License for software · Pending 100,000.00 / รวมทั้งหมด · Pending 100,000.00 · กรอก Feb 10,000, Mar 20,000, Apr 5,500 · หลัง: รวมทั้งปี 135,500.00 / รวมกลุ่ม 135,500.00 / รวมทั้งหมด 135,500.00 — ทั้ง 3 จุดเพิ่มขึ้น 35,500.00 พอดี (10,000 + 20,000 + 5,500) ขยับทันทีโดยไม่ต้อง reload · ตัวเลขคั่นหลักพันและมีทศนิยม 2 ตำแหน่ง</t>
        </is>
      </c>
      <c r="O12" s="21" t="inlineStr">
        <is>
          <t>Pass</t>
        </is>
      </c>
      <c r="P12" s="22" t="n"/>
      <c r="Q12" s="22" t="n"/>
      <c r="R12" s="23" t="inlineStr">
        <is>
          <t>Pornthip</t>
        </is>
      </c>
      <c r="S12" s="24" t="n">
        <v>46274</v>
      </c>
      <c r="T12" s="51" t="inlineStr">
        <is>
          <t>[AI pre-run 09/09/2026] ผ่านข้อ 1-5 ทุกข้อ ผลบวกตรงเครื่องคิดเลข</t>
        </is>
      </c>
    </row>
    <row r="13" ht="156" customHeight="1">
      <c r="A13" s="18" t="inlineStr">
        <is>
          <t>W2</t>
        </is>
      </c>
      <c r="B13" s="18" t="n">
        <v>10</v>
      </c>
      <c r="C13" s="19" t="n">
        <v>11</v>
      </c>
      <c r="D13" s="20" t="inlineStr">
        <is>
          <t>UAT-11</t>
        </is>
      </c>
      <c r="E13" s="20" t="inlineStr">
        <is>
          <t>Budget Entry (Filler)</t>
        </is>
      </c>
      <c r="F13" s="20" t="inlineStr">
        <is>
          <t>Data &amp; Analytic</t>
        </is>
      </c>
      <c r="G13" s="18" t="n"/>
      <c r="H13" s="20" t="inlineStr">
        <is>
          <t>ผู้กรอกต้องเห็นหมายเหตุอธิบายกติกาการกรอกเงินใต้ toolbar ก่อนเริ่มกรอกตัวเลข</t>
        </is>
      </c>
      <c r="I13" s="19" t="inlineStr">
        <is>
          <t>Medium</t>
        </is>
      </c>
      <c r="J13" s="20" t="inlineStr">
        <is>
          <t>ล็อกอินเป็น Pornthip และเพิ่งเปิดหน้ากรอกงบของฝ่าย `Data &amp; Analytic` ปี `Year 2026` โดยยังไม่กรอกอะไรเลย</t>
        </is>
      </c>
      <c r="K13" s="20" t="inlineStr">
        <is>
          <t>1. เปิดหน้ากรอกงบของฝ่าย `Data &amp; Analytic` ปี `Year 2026`
2. ยังไม่ต้องกรอกตัวเลขใด ๆ
3. อ่านแถบใต้ toolbar บริเวณคำอธิบายชั้นข้อมูล (legend)
4. คัดลอกข้อความหมายเหตุที่เห็นทั้งบรรทัดลงช่อง Actual Result
5. ตอบคำถามในใจว่า อ่านแล้วรู้หรือไม่ว่าต้องกรอกอย่างน้อยเท่าไร และระบบจะปัดเศษอย่างไร</t>
        </is>
      </c>
      <c r="L13" s="20" t="inlineStr">
        <is>
          <t>ข้อความที่คาดว่าจะเห็น ขึ้นต้นว่า `หมายเหตุ: กรอกได้ตั้งแต่ 100 ขึ้นไป …`</t>
        </is>
      </c>
      <c r="M13" s="20" t="inlineStr">
        <is>
          <t>1. ใต้ toolbar มีบรรทัดหมายเหตุอธิบายกติกาการกรอกเงิน ขึ้นต้นว่า `หมายเหตุ: กรอกได้ตั้งแต่ 100 ขึ้นไป …`
2. หมายเหตุนี้เห็นได้ตั้งแต่ก่อนเริ่มกรอก ไม่ใช่เห็นหลังจากกรอกผิดไปแล้ว
3. ผู้ทดสอบอ่านแล้วเข้าใจว่าต้องกรอกอย่างน้อย 100 และระบบจะปัดค่าเป็นหลักร้อย
— หมายเหตุสำคัญ —
ข้อนี้วัดว่าผู้ใช้เข้าใจกติกาก่อนกรอกหรือไม่ ไม่ใช่วัดแค่ว่ามีข้อความอยู่จริง · ถ้าอ่านแล้วยังไม่เข้าใจ ให้เขียนคำที่อยากให้แก้ลงช่อง Remarks แม้ผลจะเป็น Pass</t>
        </is>
      </c>
      <c r="N13" s="51" t="inlineStr">
        <is>
          <t>เปิดหน้า Data &amp; Analytic Year 2026 โดยยังไม่กรอกอะไร ใต้ toolbar ข้าง legend มีบรรทัด: 'หมายเหตุ: กรอกได้ตั้งแต่ 100 ขึ้นไป โดยระบบจะปรับตัวเลข 2 หลักสุดท้ายเป็น 00 โดยอัตโนมัติ' เห็นก่อนเริ่มกรอก</t>
        </is>
      </c>
      <c r="O13" s="21" t="inlineStr">
        <is>
          <t>Pass</t>
        </is>
      </c>
      <c r="P13" s="22" t="n"/>
      <c r="Q13" s="22" t="n"/>
      <c r="R13" s="23" t="inlineStr">
        <is>
          <t>Pornthip</t>
        </is>
      </c>
      <c r="S13" s="24" t="n">
        <v>46274</v>
      </c>
      <c r="T13" s="51" t="inlineStr">
        <is>
          <t>[AI pre-run 09/09/2026] ข้อ 1-2 ตรง Expected · ข้อ 3 (อ่านแล้วเข้าใจไหม) เป็นความเห็นของคน — ให้ผู้ทดสอบยืนยันแล้วเปลี่ยนเป็น Pass เอง · jakkaritw ตัดสิน 2026-09-09: อ่านเข้าใจ / ยอมรับได้ → Pass</t>
        </is>
      </c>
    </row>
    <row r="14" ht="620" customHeight="1">
      <c r="A14" s="18" t="inlineStr">
        <is>
          <t>W2</t>
        </is>
      </c>
      <c r="B14" s="18" t="n">
        <v>11</v>
      </c>
      <c r="C14" s="19" t="n">
        <v>12</v>
      </c>
      <c r="D14" s="20" t="inlineStr">
        <is>
          <t>UAT-12</t>
        </is>
      </c>
      <c r="E14" s="20" t="inlineStr">
        <is>
          <t>Budget Entry (Filler)</t>
        </is>
      </c>
      <c r="F14" s="20" t="inlineStr">
        <is>
          <t>Data &amp; Analytic</t>
        </is>
      </c>
      <c r="G14" s="18" t="n"/>
      <c r="H14" s="20" t="inlineStr">
        <is>
          <t>กติกาช่องกรอกเงินทั้ง 6 กรณีในเคสเดียว — ปัดเป็นหลักร้อย ค่าต่ำกว่า 100 เพดาน 100 ล้าน ทศนิยม ตัวอักษร และค่าติดลบ</t>
        </is>
      </c>
      <c r="I14" s="19" t="inlineStr">
        <is>
          <t>High</t>
        </is>
      </c>
      <c r="J14" s="20" t="inlineStr">
        <is>
          <t>ล็อกอินเป็น Pornthip · อยู่ในตารางกรอกงบของฝ่าย `Data &amp; Analytic` ปี `Year 2026` ที่ยังแก้ไขได้ · เลือกแถวทดสอบ 1 แถว แล้วในแถวนั้นเตรียมช่องเดือนไว้ 2 ชุด คือ (ก) `ช่องทดสอบหลัก` 1 ช่อง ใช้กับบรรทัดที่ 1, 2, 3, 5 และ 6 และ (ข) `ช่องทดสอบทศนิยม` อีก 3 ช่องที่ตอนนี้ยังเป็น 0 หรือว่างอยู่ ใช้กับบรรทัดที่ 4 โดยเฉพาะ (ต้องเป็นคนละช่องกับช่องทดสอบหลัก) · จดค่าเดิมของทั้ง 4 ช่องไว้ก่อนเริ่ม เพื่อใช้แก้กลับตอนจบเคส · ยอด `รวมทั้งปี` ของแถวนั้นจดไว้ก่อนเริ่มได้เป็นข้อมูลอ้างอิงเท่านั้น **ห้ามใช้เป็นตัวตั้งของบรรทัดที่ 4** เพราะบรรทัดที่ 1 ถึง 3 จะเปลี่ยนค่าในแถวเดียวกันนี้ไปก่อน (บรรทัดที่ 3 ทิ้ง `ช่องทดสอบหลัก` ไว้ที่ `100,000,000`) — บรรทัดที่ 4 ต้องอ่านยอด `รวมทั้งปี` ใหม่สด ๆ ตอนนั้น ตาม Test Steps ข้อ 7 · เตรียมเครื่องคิดเลขไว้บวกยอดของบรรทัดที่ 4 และเตรียมนาฬิกาจับเวลาเพื่อดูว่ากล่องข้อความหายไปเองภายในกี่วินาที · เคสนี้เป็นหนึ่งแถวบนชีต แต่มี 6 บรรทัดที่ต้องยืนยันผลแยกกัน ทำทีละบรรทัด ห้ามรวบ</t>
        </is>
      </c>
      <c r="K14" s="20" t="inlineStr">
        <is>
          <t>1. เริ่มที่บรรทัดที่ 1 ของตาราง Test Data: ที่ `ช่องทดสอบหลัก` ให้ลบค่าเดิมในช่องออกให้หมดก่อน แล้วพิมพ์ค่าของบรรทัดนั้นลงไป
2. คลิกออกจากช่อง แล้วดูทันทีว่าช่องกลายเป็นค่าอะไร
3. มองมุมจอว่ามีกล่องข้อความแจ้งเตือนเด้งขึ้นหรือไม่ — ถ้ามี ให้คัดลอกข้อความนั้นทั้งบรรทัด และจับเวลาว่าหายไปเองภายในประมาณ 6 วินาทีหรือไม่ ถ้าไม่มี ให้เขียนว่า "ไม่มีข้อความ"
4. ดูยอด `รวมทั้งปี` ของแถวนั้นว่าขยับตามค่าที่ระบบปรับให้จริง (ไม่ใช่ตามค่าที่พิมพ์)
5. บันทึกผลของบรรทัดนี้ลงช่อง Actual Result โดยระบุ 3 อย่างเสมอ คือ ค่าที่ได้ในช่อง / ข้อความที่เห็น (หรือเขียนว่า "ไม่มีข้อความ") / ยอดรวมหลังกรอก
6. ทำซ้ำข้อ 1 ถึง 5 กับบรรทัดที่ 2 และบรรทัดที่ 3 ทีละบรรทัด ในช่องทดสอบหลักช่องเดิม
7. บรรทัดที่ 4 ทำไม่เหมือนบรรทัดอื่น เพราะเป็นการตรวจว่าการปัดเศษ **สะสมหลายช่อง** แล้วยอดรวมเพี้ยนหรือไม่ · เริ่มด้วยการอ่านยอด `รวมทั้งปี` ของแถวนั้น **ใหม่อีกครั้งเดี๋ยวนั้น ก่อนพิมพ์ค่าใด ๆ ของบรรทัดนี้** แล้วจดไว้เป็น `ยอดตั้งต้นของบรรทัดที่ 4` — ต้องเป็นตัวเลขที่อ่านสดตอนนี้เท่านั้น ห้ามใช้ยอดรวมที่จดไว้ก่อนเริ่มเคส เพราะบรรทัดที่ 1 ถึง 3 เพิ่งเปลี่ยนค่าในแถวเดียวกันนี้ไปแล้ว · จากนั้นพิมพ์ `33333.33` ลงใน `ช่องทดสอบทศนิยม` ช่องที่ 1 แล้วคลิกออกจากช่อง จดค่าที่ได้ · ทำแบบเดียวกันกับช่องที่ 2 และช่องที่ 3 จนครบทั้งสามช่อง · แล้วอ่านยอด `รวมทั้งปี` ของแถวอีกครั้ง จดไว้เป็น `ยอดหลังของบรรทัดที่ 4` · เอาเครื่องคิดเลขลบกัน: `ยอดหลังของบรรทัดที่ 4` ลบด้วย `ยอดตั้งต้นของบรรทัดที่ 4` ต้องได้ `9,999,900` พอดี · จดค่าของแต่ละช่อง ยอดตั้งต้นของบรรทัดที่ 4 และยอดหลังของบรรทัดที่ 4 ลงช่อง Actual Result
8. บรรทัดที่ 5 ทำที่ `ช่องทดสอบหลัก` และ **ต้องพิมพ์ต่อท้ายค่าเดิมที่อยู่ในช่อง ห้ามลบค่าเดิมออกก่อน**: คลิกในช่อง กดปุ่มลูกศรขวาจนเคอร์เซอร์ไปอยู่ท้ายตัวเลขเดิม แล้วพิมพ์ `abc` ต่อท้าย จากนั้นคลิกออกจากช่อง · ทำซ้ำอีกครั้งด้วย `@#$` ต่อท้ายค่าเดิมเช่นกัน · แล้วทำตามข้อ 2 ถึง 5 ต่อ
9. บรรทัดที่ 6 ทำที่ `ช่องทดสอบหลัก` โดยคราวนี้ให้ลบค่าเดิมออกให้หมดก่อน แล้วพิมพ์ `-5000` ลงไป (บรรทัดนี้ต้องลบค่าเดิมก่อน ไม่อย่างนั้นเลขจะไปต่อท้ายค่าเดิมกลายเป็นตัวเลขคนละตัว และจะอ่านผลไม่ได้) · แล้วทำตามข้อ 2 ถึง 5 ต่อ
10. เมื่อครบทั้ง 6 บรรทัด ให้แก้ค่าในช่องทดสอบทั้ง 4 ช่อง (ช่องทดสอบหลัก 1 ช่อง และช่องทดสอบทศนิยม 3 ช่อง) กลับเป็นตัวเลขที่ฝ่ายต้องการใช้จริง</t>
        </is>
      </c>
      <c r="L14" s="20" t="inlineStr">
        <is>
          <t>บรรทัดที่ 1 — ช่องทดสอบหลัก พิมพ์ `146` → คาดว่าช่องกลายเป็น `100`
บรรทัดที่ 2 — ช่องทดสอบหลัก พิมพ์ `30` → คาดว่าช่องกลายเป็น `0`
บรรทัดที่ 3 — ช่องทดสอบหลัก พิมพ์ `999999999999` (สิบสองหลัก) → คาดว่าช่องกลายเป็น `100,000,000` · ต้องพิมพ์ครบสิบสองหลักตามนี้เป๊ะ ๆ ห้ามย่อให้สั้นลง เพราะนี่คือค่าเดิมที่ SIT กรอกแล้วหน้าจอแสดงเป็นสัญลักษณ์ infinity
บรรทัดที่ 4 — ช่องทดสอบทศนิยม 3 ช่อง พิมพ์ `33333.33` ลงไปทั้ง 3 ช่อง (ช่องละครั้ง) → คาดว่าแต่ละช่องกลายเป็น `3,333,300` และยอด `รวมทั้งปี` ของแถวเพิ่มขึ้น 9,999,900 พอดี (3,333,300 × 3)
บรรทัดที่ 5 — ช่องทดสอบหลัก พิมพ์ `abc` แล้วลอง `@#$` โดย **พิมพ์ต่อท้ายค่าเดิม ห้ามลบค่าเดิมออกก่อน** → คาดว่าช่องไม่รับตัวอักษร ค่าเดิมคงอยู่เท่าเดิม
บรรทัดที่ 6 — ช่องทดสอบหลัก ลบค่าเดิมออกให้หมดก่อน แล้วพิมพ์ `-5000` → คาดว่าเครื่องหมายลบถูกตัดทิ้ง ช่องกลายเป็น `5,000`</t>
        </is>
      </c>
      <c r="M14" s="20" t="inlineStr">
        <is>
          <t>⚠ เคสรวม (merged) — 1 แถวแต่มีหลายข้อที่ต้องตรวจ อ่านให้ครบทุกข้อก่อนตัดสิน Pass
1. บรรทัดที่ 1: `146` → ช่องกลายเป็น `100` และมีกล่องข้อความเด้งมุมจอว่า `กรอก 146 · ระบบปรับเป็น 100 (ปัดเศษเป็นหลักร้อย)` ซึ่งหายไปเองภายในประมาณ 6 วินาที
2. บรรทัดที่ 2: `30` → ช่องกลายเป็น `0` และมีข้อความว่า `กรอก 30 ซึ่งต่ำกว่า 100 · ระบบบันทึกเป็น 0 (กรอกได้ตั้งแต่ 100 ขึ้นไป)`
3. บรรทัดที่ 3: `999999999999` → ช่องกลายเป็น `100,000,000` และมีข้อความแจ้งว่าเกินเพดาน 100 ล้านต่อช่อง (ข้อความที่คาดว่าจะเห็นคือ `กรอก 999,999,999,999 ซึ่งเกินเพดาน 100 ล้านต่อช่อง · ระบบบันทึกเป็น 100,000,000`) · สิ่งที่กำลังพิสูจน์ซ้ำในบรรทัดนี้คือค่าสิบสองหลักชุดนี้โดยเฉพาะ เพราะตอน SIT ค่านี้ทำให้หน้าจอแสดงเป็นสัญลักษณ์ infinity — ตอนนี้ต้องไม่มีสัญลักษณ์ infinity โผล่ทั้งในช่องและในยอดรวมอีก
4. บรรทัดที่ 4 (ดูทีละช่อง): `33333.33` → ระบบไม่รับ **จุด** ทศนิยม จึงตัดเฉพาะจุดทิ้ง ไม่ได้ตัดตัวเลขหลังจุดทิ้ง ค่าที่พิมพ์จึงกลายเป็น `3333333` ก่อน แล้วจึงปัดเป็นหลักร้อยได้ `3,333,300` — ทั้ง 3 ช่องต้องได้ `3,333,300` เท่ากันทุกช่อง
5. บรรทัดที่ 4 (ยอดรวม — ข้อสำคัญที่สุดของบรรทัดนี้): หลังกรอกครบทั้ง 3 ช่อง ยอด `รวมทั้งปี` ของแถวต้อง **เพิ่มขึ้นจาก `ยอดตั้งต้นของบรรทัดที่ 4`** (ตัวเลขที่อ่านสดก่อนพิมพ์ค่าแรกของบรรทัดนี้ ตาม Test Steps ข้อ 7) เท่ากับ 9,999,900 พอดี (3,333,300 + 3,333,300 + 3,333,300) ไม่ขาดไม่เกินแม้แต่บาทเดียว · ตัวตั้งที่ใช้เทียบคือยอดที่อ่านสดก่อนเริ่มบรรทัดนี้เท่านั้น **ห้ามเอายอดรวมที่จดไว้ก่อนเริ่มเคสมาเทียบ** เพราะบรรทัดที่ 1 ถึง 3 เปลี่ยนค่าในแถวเดียวกันนี้ไปแล้ว (บรรทัดที่ 3 ทิ้ง `ช่องทดสอบหลัก` ไว้ที่ 100,000,000) ถ้าเอายอดก่อนเริ่มเคสมาเทียบ ตัวเลขจะห่างกันประมาณร้อยล้านบาทและกลายเป็น Fail ทั้งที่ระบบทำถูก · ย้ำว่ายอดที่ถูกต้องคือผลบวกของ **ค่าที่ระบบปรับแล้ว** ไม่ใช่ผลบวกของค่าที่พิมพ์ (33,333.33 × 3) · ถ้าผลต่างเพี้ยนไปจาก 9,999,900 แม้เพียงเล็กน้อย ให้บันทึกเป็น Fail พร้อมจดตัวเลขที่เห็นจริง
6. บรรทัดที่ 5: พิมพ์ `abc` และ `@#$` ต่อท้ายค่าเดิม → ช่องไม่รับตัวอักษรและสัญลักษณ์เลยแม้แต่ตัวเดียว ค่าเดิมในช่องไม่เปลี่ยน และไม่มีกล่องข้อความเด้งขึ้น · หมายเหตุสำคัญ ถ้าเผลอลบค่าเดิมออกจนช่องว่างก่อนพิมพ์ ระบบจะบันทึกช่องนั้นเป็น `0` โดยไม่มีข้อความแจ้งเตือนใด ๆ — ช่องว่างมีค่าเท่ากับ 0 เป็นการออกแบบไว้แบบนั้น ไม่ใช่ข้อผิดพลาด ให้พิมพ์ค่ากลับเข้าไปแล้วทดสอบบรรทัดนี้ใหม่โดยพิมพ์ต่อท้าย
7. บรรทัดที่ 6: `-5000` → เครื่องหมายลบถูกตัดทิ้ง ช่องจึงบันทึกเป็น `5,000` ซึ่งไม่ใช่ค่าติดลบ และไม่ใช่ค่าเดิมของช่องด้วย · ไม่มีกล่องข้อความเด้งขึ้น เพราะ 5,000 ลงท้ายด้วย 00 อยู่แล้วจึงไม่ถูกปัดค่า
8. ทุกบรรทัด: ยอด `รวมทั้งปี` ของแถวนั้นขยับตามค่าที่ระบบปรับให้จริง ไม่ใช่ตามค่าที่พิมพ์ลงไป
9. ทุกบรรทัด: ต้องบันทึกให้ชัดว่ามีข้อความแจ้งเตือนหรือไม่มี — ผู้ทดสอบ SIT เคยติงว่าบางกรณีระบบไม่แจ้งอะไรเลย ถ้าบรรทัดใดเงียบให้เขียนความเห็นลงช่อง Remarks ว่ายอมรับได้หรือไม่
— หมายเหตุสำคัญ —
เคสนี้รวม 4 เคสเดิมจาก SIT (TC-011, TC-012, TC-013, TC-035) ไว้ในแถวเดียว เป็นหนึ่งแถวบนชีตแต่มี 6 บรรทัดที่ต้องยืนยันผลแยกกัน ให้อ่าน Expected Result ให้ครบทั้ง 9 ข้อก่อนกด Pass · บรรทัดที่ 3 คือการทดสอบซ้ำที่ SIT ขอไว้แล้วยังไม่เคยได้ทำ — TC-013 กรอก `999999999999` แล้วหน้าจอแสดงผลเป็นสัญลักษณ์ infinity จึงต้องใช้ค่าสิบสองหลักชุดเดิมเป๊ะ ๆ ไม่ใช่ค่าที่สั้นกว่านั้น ไม่อย่างนั้นถือว่ายังไม่ได้ทดสอบซ้ำตามที่ SIT ขอ · บรรทัดที่ 4 มาจาก TC-035 ซึ่งของเดิมกรอก 33,333.33 หลายรายการเพื่อดูว่าปัดเศษสะสมกันแล้วยอดรวมคลาดเคลื่อนหรือไม่ จึงต้องกรอกให้ครบ 3 ช่องและตรวจยอด `รวมทั้งปี` ด้วย การกรอกช่องเดียวไม่ครอบคลุมสิ่งที่ SIT ทดสอบไว้ · ค่าที่กรอกทุกบรรทัดถูกเขียนลงฐานข้อมูลจริงของปีงบประมาณ 2027 เสร็จแล้วต้องแก้ทั้ง 4 ช่องกลับเป็นค่าที่ฝ่ายต้องการใช้จริง</t>
        </is>
      </c>
      <c r="N14" s="51" t="inlineStr">
        <is>
          <t>แถวทดสอบ 10IT013000 / 6211100110 · ช่องทดสอบหลัก = May · ช่องทศนิยม = Jun, Jul, Aug (เดิม 0 ทั้ง 4 ช่อง) · บรรทัด1: พิมพ์ 146 → ช่อง 100 / ข้อความ 'กรอก 146 · ระบบปรับเป็น 100 (ปัดเศษเป็นหลักร้อย)' / รวมทั้งปี 135,600.00 · ข้อความหายเองภายใน 7 วินาที (ตรวจซ้ำแล้วไม่เหลือ) · บรรทัด2: พิมพ์ 30 → ช่อง 0 / 'กรอก 30 ซึ่งต่ำกว่า 100 · ระบบบันทึกเป็น 0 (กรอกได้ตั้งแต่ 100 ขึ้นไป)' / รวม 135,500.00 · บรรทัด3: พิมพ์ 999999999999 (12 หลัก) → ช่อง 100,000,000 / 'กรอก 999,999,999,999 ซึ่งเกินเพดาน 100 ล้านต่อช่อง · ระบบบันทึกเป็น 100,000,000' / รวม 100,135,500.00 · ไม่มีสัญลักษณ์ infinity ทั้งในช่องและยอดรวม · บรรทัด4: ยอดตั้งต้นของบรรทัดที่ 4 (อ่านสด) = 100,135,500.00 · พิมพ์ 33333.33 ลง Jun, Jul, Aug → ทั้ง 3 ช่องได้ 3,333,300 (ข้อความ 'กรอก 3,333,333 · ระบบปรับเป็น 3,333,300 (ปัดเศษเป็นหลักร้อย)' ยืนยันว่าตัดจุดทิ้ง) · ยอดหลังของบรรทัดที่ 4 = 110,135,400.00 · ผลต่าง = 9,999,900.00 พอดี · บรรทัด5: พิมพ์ abc ต่อท้าย แล้ว @#$ ต่อท้าย → ช่องคง 100000000 ไม่เปลี่ยน ไม่มีข้อความ · บรรทัด6: ลบค่าเดิมแล้วพิมพ์ -5000 → ช่อง 5000 (เครื่องหมายลบถูกตัด) ไม่มีข้อความ / รวม 10,140,400.00 · ข้อ10: คืนค่าทั้ง 4 ช่องเป็น 0 แล้ว</t>
        </is>
      </c>
      <c r="O14" s="21" t="inlineStr">
        <is>
          <t>Pass</t>
        </is>
      </c>
      <c r="P14" s="22" t="n"/>
      <c r="Q14" s="22" t="n"/>
      <c r="R14" s="23" t="inlineStr">
        <is>
          <t>Pornthip</t>
        </is>
      </c>
      <c r="S14" s="24" t="n">
        <v>46274</v>
      </c>
      <c r="T14" s="51" t="inlineStr">
        <is>
          <t>[AI pre-run 09/09/2026] ผ่านครบทั้ง 6 บรรทัดและ Expected ข้อ 1-9 · ข้อความแจ้งเตือนขึ้นทุกบรรทัดที่มีการปัดค่า (1, 2, 3, 4) และเงียบในบรรทัด 5, 6 ตามที่ Expected ระบุ · การจับเวลา 6 วินาที: automation ตรวจที่ 7 วินาทีแล้วข้อความหายไปแล้ว ไม่ได้จับเวลาละเอียดกว่านั้น</t>
        </is>
      </c>
    </row>
    <row r="15" ht="240" customHeight="1">
      <c r="A15" s="18" t="inlineStr">
        <is>
          <t>W2</t>
        </is>
      </c>
      <c r="B15" s="18" t="n">
        <v>12</v>
      </c>
      <c r="C15" s="19" t="n">
        <v>13</v>
      </c>
      <c r="D15" s="20" t="inlineStr">
        <is>
          <t>UAT-13</t>
        </is>
      </c>
      <c r="E15" s="20" t="inlineStr">
        <is>
          <t>Budget Entry (Filler)</t>
        </is>
      </c>
      <c r="F15" s="20" t="inlineStr">
        <is>
          <t>Data &amp; Analytic</t>
        </is>
      </c>
      <c r="G15" s="18" t="n"/>
      <c r="H15" s="20" t="inlineStr">
        <is>
          <t>ฟอร์ม `+ เพิ่ม Transaction` ต้องปฏิเสธเมื่อเว้นช่องบังคับไว้ และต้องปฏิเสธเมื่อเพิ่มแถวซ้ำกับที่มีอยู่แล้ว โดยข้อความปฏิเสธอ่านรู้เรื่อง</t>
        </is>
      </c>
      <c r="I15" s="19" t="inlineStr">
        <is>
          <t>High</t>
        </is>
      </c>
      <c r="J15" s="20" t="inlineStr">
        <is>
          <t>ล็อกอินเป็น Pornthip และอยู่ในหน้ากรอกงบของฝ่าย `Data &amp; Analytic` ปี `Year 2026` ซึ่งเป็นรอบที่ยังเปิดให้แก้ไข</t>
        </is>
      </c>
      <c r="K15" s="20" t="inlineStr">
        <is>
          <t>1. กดปุ่ม `+ เพิ่ม Transaction`
2. ไม่เลือก Cost Center และไม่เลือก GL Code แล้วกดบันทึก
3. คัดลอกข้อความที่ระบบแสดงตรงช่องที่ขาดทั้งสองช่องลงช่อง Actual Result
4. เลือกเฉพาะ Cost Center โดยยังไม่เลือก GL Code แล้วกดบันทึกอีกครั้ง แล้วจดข้อความที่เห็น
5. ปิดฟอร์ม แล้วจดคู่ Cost Center + GL Code ของแถวหนึ่งที่มีอยู่แล้วในตาราง
6. กด `+ เพิ่ม Transaction` อีกครั้ง เลือกคู่เดิมนั้น แล้วกดบันทึก
7. คัดลอกข้อความปฏิเสธที่เห็นลงช่อง Actual Result และตรวจว่าตารางไม่มีแถวซ้ำเกิดขึ้น</t>
        </is>
      </c>
      <c r="L15" s="20" t="inlineStr">
        <is>
          <t>กรณีที่ 1: Cost Center = ว่าง, GL Code = ว่าง
กรณีที่ 2: Cost Center = เลือกไว้แล้ว (เช่น 10IT011300), GL Code = ว่าง
กรณีที่ 3: คู่ Cost Center + GL Code ที่มีอยู่แล้วในตาราง (เช่น 10IT011300 คู่กับ GL ของแถวแรกที่เห็น)</t>
        </is>
      </c>
      <c r="M15" s="20" t="inlineStr">
        <is>
          <t>1. กรณีเว้นช่องว่าง: ระบบไม่บันทึกรายการ และแสดงข้อความ `กรุณาเลือก Cost Center` ก่อน (ระบบแจ้งทีละช่องตามลำดับ ช่องแรกที่ขาดขึ้นก่อน เหมือนฟอร์มย่อยทุกฟอร์ม — ยอมรับได้ตามคำตัดสิน jakkaritw 2026-09-09) เมื่อเลือก Cost Center แล้วกดบันทึกอีกครั้งจึงแสดง `กรุณาเลือก GL Code`
2. กรณีเลือกไม่ครบ: ระบบยังไม่บันทึก และชี้ช่องที่ยังขาดอยู่
3. กรณีเพิ่มแถวซ้ำ: ระบบไม่บันทึกรายการ และแสดงข้อความปฏิเสธที่ผู้ใช้อ่านแล้วเข้าใจว่าแถวนี้มีอยู่แล้ว — ให้จดข้อความจริงที่เห็นลงช่อง Actual Result แล้วให้ความเห็นในช่อง Remarks ว่าอ่านเข้าใจหรือไม่
4. ตารางไม่มีแถวซ้ำเกิดขึ้นหลังการทดสอบ
5. หมายเหตุตามการออกแบบ: ช่องจำนวนเงินรายเดือนในตารางไม่ใช่ช่องบังคับกรอก การเว้นว่างมีค่าเท่ากับ 0 ข้อนี้ไม่ใช่ข้อผิดพลาด
— หมายเหตุสำคัญ —
ถ้าเผลอเพิ่มแถวสำเร็จระหว่างทดสอบ ให้ลบแถวนั้นออกด้วยปุ่ม `ลบรายการนี้` (วิธีลบอยู่ในเคส UAT-17)</t>
        </is>
      </c>
      <c r="N15" s="51" t="inlineStr">
        <is>
          <t>กรณี1 (ว่างทั้งคู่ กดบันทึก): ระบบไม่บันทึก แสดงข้อความเดียวคือ 'กรุณาเลือก Cost Center' — ไม่แสดง 'กรุณาเลือก GL Code' พร้อมกัน · กรณี2 (เลือก 10IT011300 แล้วกดบันทึก): ไม่บันทึก แสดง 'กรุณาเลือก GL Code' · กรณี3 (เลือกคู่ที่มีอยู่ 10IT013000 + 6211100110 แล้วกดบันทึก): ไม่บันทึก แสดง 'รายการนี้มีอยู่ในตารางแล้ว' · ตารางยังมี 3 แถวเท่าเดิม ไม่มีแถวซ้ำ</t>
        </is>
      </c>
      <c r="O15" s="21" t="inlineStr">
        <is>
          <t>Pass</t>
        </is>
      </c>
      <c r="P15" s="22" t="n"/>
      <c r="Q15" s="22" t="n"/>
      <c r="R15" s="23" t="inlineStr">
        <is>
          <t>Pornthip</t>
        </is>
      </c>
      <c r="S15" s="24" t="n">
        <v>46274</v>
      </c>
      <c r="T15" s="51" t="inlineStr">
        <is>
          <t>[AI pre-run 09/09/2026] ผ่านทุกข้อ · Expected ข้อ 1 เดิมคาดว่าเห็นข้อความ 2 ช่องพร้อมกัน แต่ระบบแจ้งทีละช่อง (ช่องแรกที่ขาดก่อน) เหมือนฟอร์มย่อยทุกฟอร์ม — jakkaritw ตัดสิน 2026-09-09 ว่ายอมรับได้ แก้ Expected ข้อ 1 ให้ตรงระบบแล้ว · ข้อ 3 ส่วน 'อ่านเข้าใจไหม' เป็นความเห็นของคน</t>
        </is>
      </c>
    </row>
    <row r="16" ht="240" customHeight="1">
      <c r="A16" s="18" t="inlineStr">
        <is>
          <t>W2</t>
        </is>
      </c>
      <c r="B16" s="18" t="n">
        <v>13</v>
      </c>
      <c r="C16" s="19" t="n">
        <v>14</v>
      </c>
      <c r="D16" s="20" t="inlineStr">
        <is>
          <t>UAT-14</t>
        </is>
      </c>
      <c r="E16" s="20" t="inlineStr">
        <is>
          <t>Budget Entry (Filler)</t>
        </is>
      </c>
      <c r="F16" s="20" t="inlineStr">
        <is>
          <t>Data &amp; Analytic</t>
        </is>
      </c>
      <c r="G16" s="18" t="n"/>
      <c r="H16" s="20" t="inlineStr">
        <is>
          <t>ผู้กรอกที่ไม่ได้อยู่ฝ่าย Talent &amp; Culture ต้องไม่เห็น GL อบรมและสัมมนา `5210100150` / `6210100150` ในรายการเลือก แต่แถวเดิมที่มีอยู่แล้วยังกรอกได้ตามปกติ</t>
        </is>
      </c>
      <c r="I16" s="19" t="inlineStr">
        <is>
          <t>High</t>
        </is>
      </c>
      <c r="J16" s="20" t="inlineStr">
        <is>
          <t>ล็อกอินเป็น Pornthip ซึ่งเป็นผู้กรอกของฝ่าย `Data &amp; Analytic` — ไม่ใช่ฝ่าย Talent &amp; Culture · เปิดปี `Year 2026` · Pornthip ไม่ใช่ผู้ดูแลระบบ (admin)</t>
        </is>
      </c>
      <c r="K16" s="20" t="inlineStr">
        <is>
          <t>1. ล็อกอินเป็น Pornthip แล้วเลือกฝ่าย `Data &amp; Analytic` และปี `Year 2026`
2. กดปุ่ม `+ เพิ่ม Transaction`
3. ที่ช่องเลือก GL Code พิมพ์ค้นหา `5210100150` แล้วดูว่าพบในรายการหรือไม่
4. พิมพ์ค้นหา `6210100150` ในช่องเดียวกัน แล้วดูว่าพบในรายการหรือไม่
5. ในฟอร์มเดียวกัน เลือก Cost Center ของฝ่าย Data &amp; Analytic (เช่น 10IT011300) ก่อน แล้วพิมพ์ค้นหา `5210100150` และ `6210100150` ซ้ำอีกครั้ง — กติกานี้ผูกกับฝ่ายเจ้าของ Cost Center ที่เลือกไว้ จึงต้องตรวจซ้ำหลังเลือก Cost Center ด้วย
6. ปิดฟอร์มโดยไม่บันทึก
7. ใช้ตัวกรองคอลัมน์ GL ในตารางหลัก ค้นหาว่ามีแถวของ GL คู่นี้อยู่เดิมหรือไม่
8. ถ้ามีแถวเดิมอยู่ ให้ลองกรอกยอดในเดือนหนึ่งของแถวนั้นแล้วคลิกออกจากช่อง เพื่อดูว่าบันทึกได้ตามปกติหรือถูกปฏิเสธ</t>
        </is>
      </c>
      <c r="L16" s="20" t="inlineStr">
        <is>
          <t>GL ที่ตรวจ: `5210100150` และ `6210100150` (อบรมและสัมมนา)
ฝ่ายที่ใช้ทดสอบ: Data &amp; Analytic (ไม่ใช่ Talent &amp; Culture)
ผู้ทดสอบ: Pornthip (ไม่ใช่ admin)</t>
        </is>
      </c>
      <c r="M16" s="20" t="inlineStr">
        <is>
          <t>1. ช่องเลือก GL Code ค้นหาแล้วไม่พบ `5210100150` — เลือกไม่ได้
2. ช่องเลือก GL Code ค้นหาแล้วไม่พบ `6210100150` — เลือกไม่ได้
3. หลังเลือก Cost Center ของฝ่าย Data &amp; Analytic แล้วค้นหาซ้ำ ก็ยังไม่พบ GL ทั้งสองตัวเช่นเดิม
4. ถ้าตารางหลักมีแถวของ GL คู่นี้อยู่เดิม แถวนั้นต้องยังแสดงตามปกติ ไม่ถูกซ่อน
5. แถวเดิมนั้นยังกรอกยอดรายเดือนได้ตามปกติ บันทึกผ่าน ไม่ถูกปฏิเสธ
6. ถ้าไม่มีแถวเดิมของ GL คู่นี้ในฝ่ายนี้ ให้บันทึกลงช่อง Actual Result ว่าไม่มีแถวเดิมให้ตรวจ
— หมายเหตุสำคัญ —
กติกาจำกัด GL อบรมและสัมมนาให้เฉพาะฝ่าย Talent &amp; Culture เพิ่งเพิ่มเข้ามาหลังปิดรอบ SIT (2026-08-29) · เคส SIT เดิม TC-057 ยังเขียนว่าฝ่าย Data &amp; Analytic กรอก GL 6210100150 ได้ — ข้อความเดิมล้าสมัยแล้ว ไม่ใช่ข้อผิดพลาดของระบบ · ทำเคสนี้ติดกับ UAT-15 เพราะสองเคสต้องเอาผลมาเทียบกัน</t>
        </is>
      </c>
      <c r="N16" s="51" t="inlineStr">
        <is>
          <t>ฟอร์ม + เพิ่ม Transaction (Data &amp; Analytic, Year 2026) · ยังไม่เลือก Cost Center: ค้นหา 5210100150 → 'ไม่พบ GL CODE ที่ค้นหา' · ค้นหา 6210100150 → 'ไม่พบ GL CODE ที่ค้นหา' · เลือก Cost Center 10IT011300 แล้วค้นหาซ้ำทั้งสองตัว → ยังไม่พบเหมือนเดิม · ตรวจสอบว่าช่องค้นหาทำงาน: พิมพ์ 62101 พบ 6 รายการ (6210100080, 6210100090, 6210100100, 6210100110, 6210100130, 6210100140) ไม่มี 6210100150 อยู่ในรายการ · ปิดฟอร์มด้วย ยกเลิก · ตารางหลักไม่มีแถวเดิมของ GL คู่นี้ในฝ่ายนี้ (แถวที่มี: 6211100110, 6211400010, 6210400010) จึงบันทึกว่าไม่มีแถวเดิมให้ตรวจข้อ 4-5</t>
        </is>
      </c>
      <c r="O16" s="21" t="inlineStr">
        <is>
          <t>Pass</t>
        </is>
      </c>
      <c r="P16" s="22" t="n"/>
      <c r="Q16" s="22" t="n"/>
      <c r="R16" s="23" t="inlineStr">
        <is>
          <t>Pornthip</t>
        </is>
      </c>
      <c r="S16" s="24" t="n">
        <v>46274</v>
      </c>
      <c r="T16" s="51" t="inlineStr">
        <is>
          <t>[AI pre-run 09/09/2026] ผ่าน Expected ข้อ 1-3 · ข้อ 4-5 ไม่มีแถวเดิมให้ทดสอบ บันทึกตามข้อ 6 · การซ่อนเป็นกติกาที่ตั้งไว้ 2026-08-29 (Training &amp; Seminar → Talent &amp; Culture เท่านั้น)</t>
        </is>
      </c>
    </row>
    <row r="17" ht="204" customHeight="1">
      <c r="A17" s="18" t="inlineStr">
        <is>
          <t>W2</t>
        </is>
      </c>
      <c r="B17" s="18" t="n">
        <v>14</v>
      </c>
      <c r="C17" s="19" t="n">
        <v>15</v>
      </c>
      <c r="D17" s="20" t="inlineStr">
        <is>
          <t>UAT-15</t>
        </is>
      </c>
      <c r="E17" s="20" t="inlineStr">
        <is>
          <t>Budget Entry (Filler)</t>
        </is>
      </c>
      <c r="F17" s="20" t="inlineStr">
        <is>
          <t>Data &amp; Analytic</t>
        </is>
      </c>
      <c r="G17" s="18" t="n"/>
      <c r="H17" s="20" t="inlineStr">
        <is>
          <t>ผู้ดูแลระบบ (admin) เปิดรายการเลือก GL เดียวกันแล้วยังต้องเห็น GL อบรมและสัมมนา ซึ่งเป็นข้อยกเว้นของ admin</t>
        </is>
      </c>
      <c r="I17" s="19" t="inlineStr">
        <is>
          <t>Medium</t>
        </is>
      </c>
      <c r="J17" s="20" t="inlineStr">
        <is>
          <t>ทดสอบโดยผู้ที่เป็น admin จริงเท่านั้น คือ Nipaporn (nipapornt@chememan.com) หรือ Waraporn (warapornt@chememan.com) · เปิดฝ่าย `Data &amp; Analytic` ปี `Year 2026` ให้ตรงกับเคส UAT-14 เพื่อเทียบผลกันได้โดยตรง · ทำเคส UAT-14 ให้เสร็จก่อน · สิ่งที่ต้องรู้ก่อนเริ่ม เพื่อไม่ให้เริ่มเคสไม่ได้: toggle `โหมด Admin` บนแถบเครื่องมือของทั้งสองบัญชีนี้เริ่มต้นเป็น **ปิด** เสมอ และขณะปิดอยู่ ตัวเลือกฝ่ายจะแสดงเฉพาะฝ่ายในสิทธิ์ปกติของตนเอง ซึ่งไม่มีฝ่าย `Data &amp; Analytic` อยู่ในรายการเลย จึงต้องเปิดโหมด Admin ก่อนเลือกฝ่ายทุกครั้ง</t>
        </is>
      </c>
      <c r="K17" s="20" t="inlineStr">
        <is>
          <t>1. ล็อกอินด้วยบัญชี admin (Nipaporn หรือ Waraporn)
2. เปิด toggle `โหมด Admin` บนแถบเครื่องมือ แล้วเลือกฝ่าย `Data &amp; Analytic` ปีบนจอ `Year 2026` ให้ตรงกับเคส UAT-14 — ต้องเปิดโหมดก่อนเลือกฝ่ายเสมอ เพราะขณะปิดโหมด Admin ตัวเลือกฝ่ายจะแสดงเฉพาะฝ่ายในสิทธิ์ปกติของตน จึงยังไม่มีฝ่ายนี้ให้เลือก
3. กดปุ่ม `+ เพิ่ม Transaction`
4. ที่ช่องเลือก GL Code พิมพ์ค้นหา `5210100150` แล้วจดว่าพบหรือไม่พบ
5. พิมพ์ค้นหา `6210100150` ในช่องเดียวกัน แล้วจดว่าพบหรือไม่พบ
6. ปิดฟอร์มโดยไม่บันทึก
7. เขียนผลเทียบกันสองฝั่งลงช่อง Actual Result ว่า Filler เห็นอะไร และ admin เห็นอะไร</t>
        </is>
      </c>
      <c r="L17" s="20" t="inlineStr">
        <is>
          <t>ผู้ทดสอบ: Nipaporn หรือ Waraporn (เป็น admin จริง)
GL ที่ตรวจ: `5210100150` และ `6210100150` (อบรมและสัมมนา)
ฝ่ายที่เปิด: Data &amp; Analytic ปี Year 2026 (เหมือนเคส UAT-14)</t>
        </is>
      </c>
      <c r="M17" s="20" t="inlineStr">
        <is>
          <t>1. บัญชี admin ค้นหาแล้ว **พบ** GL `5210100150` ในรายการ และเลือกได้
2. บัญชี admin ค้นหาแล้ว **พบ** GL `6210100150` ในรายการ และเลือกได้
3. ผลต่างจากเคส UAT-14 อย่างชัดเจน คือ Filler หาไม่พบ แต่ admin หาพบ
4. ความต่างนี้คือข้อยกเว้นของ admin ที่ตั้งใจให้เป็น ไม่ใช่ข้อผิดพลาด
— หมายเหตุสำคัญ —
ผู้ที่เป็น admin จริงมี 3 คนเท่านั้น คือ jakkaritw, nipapornt และ warapornt — Pornthip และ Laddawan ไม่ใช่ admin จึงใช้ทดสอบเคสนี้ไม่ได้ · ให้ทำต่อจาก UAT-14 ทันที เพราะผลของสองเคสต้องเทียบกัน · ไม่ต้องกดบันทึกแถวใหม่ แค่ดูว่าเลือกได้หรือไม่ก็พอ · จดลงช่อง Actual Result ด้วยว่าขณะทดสอบเปิดสวิตช์ `โหมด Admin` ไว้หรือไม่ เพื่อให้อ่านผลย้อนหลังได้ชัดเจน</t>
        </is>
      </c>
      <c r="N17" s="51" t="inlineStr">
        <is>
          <t>Waraporn เปิด toggle 'โหมด Admin' → เลือก Data &amp; Analytic Year 2026 (สถานะ Approved) → กด + เพิ่ม Transaction → เลือก Cost Center 10IT013000 → ช่อง GL Code พิมพ์ 5210100150 → รายการแสดง '5210100150 — ค่าอบรมและสัมมนา - ค่าธรรมเนียม' (พบ เลือกได้) · พิมพ์ 6210100150 → รายการแสดง '6210100150 — ค่าอบรมและสัมมนา - ค่าธรรมเนียม' (พบ เลือกได้) · กด ยกเลิก ปิดฟอร์มโดยไม่บันทึก · เทียบ UAT-14: Pornthip (Filler) ค้นทั้งสองรหัสแล้ว 'ไม่พบ' ส่วน admin 'พบ' ทั้งคู่ — ต่างกันชัดตามข้อยกเว้นของ admin</t>
        </is>
      </c>
      <c r="O17" s="21" t="inlineStr">
        <is>
          <t>Pass</t>
        </is>
      </c>
      <c r="P17" s="22" t="n"/>
      <c r="Q17" s="22" t="n"/>
      <c r="R17" s="23" t="inlineStr">
        <is>
          <t>Nipaporn หรือ Waraporn</t>
        </is>
      </c>
      <c r="S17" s="24" t="n">
        <v>46274</v>
      </c>
      <c r="T17" s="51" t="inlineStr">
        <is>
          <t>[AI pre-run 09/09/2026] ผ่านทุกข้อ · ไม่กด Submit/บันทึกใด ๆ ระหว่างเปิดโหมด Admin · รอบก่อน Blocked เพราะเครื่องมือ AI ถูกกันไม่ให้กด toggle — รอบนี้กดได้ (ที่ยังถูกกันคือปุ่มดำเนินการแทนขั้นที่ 1 เท่านั้น ดู UAT-44)</t>
        </is>
      </c>
    </row>
    <row r="18" ht="216" customHeight="1">
      <c r="A18" s="18" t="inlineStr">
        <is>
          <t>W2</t>
        </is>
      </c>
      <c r="B18" s="18" t="n">
        <v>15</v>
      </c>
      <c r="C18" s="19" t="n">
        <v>16</v>
      </c>
      <c r="D18" s="20" t="inlineStr">
        <is>
          <t>UAT-16</t>
        </is>
      </c>
      <c r="E18" s="20" t="inlineStr">
        <is>
          <t>Budget Entry (Filler)</t>
        </is>
      </c>
      <c r="F18" s="20" t="inlineStr">
        <is>
          <t>Data &amp; Analytic</t>
        </is>
      </c>
      <c r="G18" s="18" t="n"/>
      <c r="H18" s="20" t="inlineStr">
        <is>
          <t>GL `5210400999` และ `6210400999` (ค่าใช้จ่ายเดินทางอื่น) ต้องเป็นแถวกรอกยอดตรงในตารางหลัก ไม่มีปุ่มเปิดฟอร์มย่อย และแก้ไขหรือลบได้เหมือน GL ปกติ</t>
        </is>
      </c>
      <c r="I18" s="19" t="inlineStr">
        <is>
          <t>High</t>
        </is>
      </c>
      <c r="J18" s="20" t="inlineStr">
        <is>
          <t>ล็อกอินเป็น Pornthip · อยู่ในตารางกรอกงบของฝ่าย `Data &amp; Analytic` ปี `Year 2026` ที่ยังแก้ไขได้ · GL คู่นี้ถูกย้ายออกจากฟอร์มทริปเดินทางแล้ว จึงต้องกรอกในตารางหลักโดยตรง</t>
        </is>
      </c>
      <c r="K18" s="20" t="inlineStr">
        <is>
          <t>1. กดปุ่ม `+ เพิ่ม Transaction` เลือก Cost Center ของฝ่าย Data &amp; Analytic แล้วเลือก GL `6210400999` และกดบันทึก
2. หาแถวใหม่นั้นในตารางฝั่ง `ฝั่งบริหาร / ขาย · SG&amp;A (6xxx)`
3. มองท้ายแถวว่ามีปุ่มเปิดฟอร์มย่อย (`แก้ไขผ่านฟอร์มย่อย`) หรือไม่
4. กรอกยอดในช่องเดือนหนึ่งของแถวนั้นโดยตรง แล้วคลิกออกจากช่อง
5. แก้ยอดเดิมนั้นเป็นตัวเลขใหม่ แล้วคลิกออกจากช่อง แล้วโหลดหน้าใหม่เพื่อยืนยันว่าค่าล่าสุดถูกบันทึก
6. ทำซ้ำข้อ 1 ถึง 5 กับ GL `5210400999` ในตารางฝั่ง `ฝั่งผลิต / ต้นทุน (5xxx)`
7. ลบแถวที่เพิ่งเพิ่มทั้งสองแถวด้วยปุ่ม `ลบรายการนี้` แล้วยืนยันการลบ</t>
        </is>
      </c>
      <c r="L18" s="20" t="inlineStr">
        <is>
          <t>GL ที่ตรวจ: `6210400999` (ฝั่ง SG&amp;A) และ `5210400999` (ฝั่งผลิต/ต้นทุน) — ค่าใช้จ่ายเดินทางอื่น
ยอดที่ใช้ทดสอบ: 5,000 แล้วแก้เป็น 7,000</t>
        </is>
      </c>
      <c r="M18" s="20" t="inlineStr">
        <is>
          <t>1. เพิ่มแถวของ GL `6210400999` และ `5210400999` ผ่านฟอร์ม `+ เพิ่ม Transaction` ได้ตามปกติ
2. ท้ายแถวของ GL ทั้งสองไม่มีปุ่มเปิดฟอร์มย่อย — เป็นแถวกรอกยอดธรรมดา
3. กรอกยอดรายเดือนในตารางหลักได้โดยตรง และบันทึกอัตโนมัติเมื่อคลิกออกจากช่อง
4. แก้ยอดเดิมได้ และค่าล่าสุดยังอยู่หลังโหลดหน้าใหม่
5. ลบแถวได้เหมือน GL ปกติ ด้วยปุ่ม `ลบรายการนี้` และมีกล่องยืนยันก่อนลบ
— หมายเหตุสำคัญ —
GL คู่นี้เพิ่งถูกย้ายออกจากฟอร์มทริปเดินทางเมื่อ 2026-09-04 ถึง 2026-09-05 — เอกสาร SIT เดิมยังเขียนว่าอยู่ในฟอร์มทริป ข้อความเดิมล้าสมัยแล้ว ไม่ใช่ข้อผิดพลาด · ให้ลบเฉพาะแถวที่ตัวเองเพิ่งเพิ่มในเคสนี้ ห้ามลบแถวที่มียอดของฝ่ายอยู่จริง · เคส UAT-53 จะกลับมาตรวจ GL `6210400999` อีกครั้งในเรื่องเงินหายเงียบ</t>
        </is>
      </c>
      <c r="N18" s="51" t="inlineStr">
        <is>
          <t>เพิ่มแถว 10IT011300 + 6210400999 ผ่านฟอร์ม + เพิ่ม Transaction สำเร็จ แถวอยู่ฝั่ง SG&amp;A (6xxx) · ท้ายแถวมีปุ่มลบ (delete-row) และช่อง Remark ไม่มีปุ่ม 'แก้ไขผ่านฟอร์มย่อย' · กรอก Jan 5,000 → รวมทั้งปี 5,000.00 · แก้เป็น 7,000 → 7,000.00 · reload แล้วยังเป็น 7,000 · เพิ่มแถว 10IT011300 + 5210400999 สำเร็จ ฝั่ง 'ฝั่งผลิต / ต้นทุน (5xxx)' ปรากฏขึ้นทันทีที่มีแถว 5xxx แถวแรก · ไม่มีปุ่มฟอร์มย่อยเช่นกัน · กรอก 5,000 → 7,000 → reload ยังเป็น 7,000 · ลบทั้งสองแถวด้วยปุ่มลบ มีกล่องยืนยันก่อนลบ แถวหายทั้งคู่</t>
        </is>
      </c>
      <c r="O18" s="21" t="inlineStr">
        <is>
          <t>Pass</t>
        </is>
      </c>
      <c r="P18" s="22" t="n"/>
      <c r="Q18" s="22" t="n"/>
      <c r="R18" s="23" t="inlineStr">
        <is>
          <t>Pornthip</t>
        </is>
      </c>
      <c r="S18" s="24" t="n">
        <v>46274</v>
      </c>
      <c r="T18" s="51" t="inlineStr">
        <is>
          <t>[AI pre-run 09/09/2026] ผ่าน Expected ข้อ 1-5 ทุกข้อ · ยืนยันข้อสังเกตจาก UAT-06 ว่าฝั่ง 5xxx แสดงเมื่อมีแถว 5xxx เท่านั้น</t>
        </is>
      </c>
    </row>
    <row r="19" ht="180" customHeight="1">
      <c r="A19" s="18" t="inlineStr">
        <is>
          <t>W2</t>
        </is>
      </c>
      <c r="B19" s="18" t="n">
        <v>16</v>
      </c>
      <c r="C19" s="19" t="n">
        <v>17</v>
      </c>
      <c r="D19" s="20" t="inlineStr">
        <is>
          <t>UAT-17</t>
        </is>
      </c>
      <c r="E19" s="20" t="inlineStr">
        <is>
          <t>Budget Entry (Filler)</t>
        </is>
      </c>
      <c r="F19" s="20" t="inlineStr">
        <is>
          <t>Data &amp; Analytic</t>
        </is>
      </c>
      <c r="G19" s="18" t="n"/>
      <c r="H19" s="20" t="inlineStr">
        <is>
          <t>ลบแถวที่ผู้ใช้เพิ่มเองออกจากตารางหลักได้ โดยมีปุ่ม `ลบรายการนี้` และกล่องยืนยันภาษาไทย ส่วนแถวที่ระบบสร้างขึ้นเองต้องไม่มีปุ่มลบ</t>
        </is>
      </c>
      <c r="I19" s="19" t="inlineStr">
        <is>
          <t>Medium</t>
        </is>
      </c>
      <c r="J19" s="20" t="inlineStr">
        <is>
          <t>ล็อกอินเป็น Pornthip · อยู่ในตารางกรอกงบของฝ่าย `Data &amp; Analytic` ปี `Year 2026` ที่ยังแก้ไขได้ (ยังไม่ได้ส่งขออนุมัติในรอบนี้ หรือเคยถูกตีกลับมาแล้วจึงยังกรอกได้) · การลบแถวย้อนกลับไม่ได้จากหน้าจอ จึงต้องเพิ่มแถวใหม่ขึ้นมาทดสอบเอง</t>
        </is>
      </c>
      <c r="K19" s="20" t="inlineStr">
        <is>
          <t>1. กดปุ่ม `+ เพิ่ม Transaction` เพิ่มแถวใหม่ขึ้นมา 1 แถวสำหรับทดสอบโดยเฉพาะ
2. มองท้ายแถวใหม่นั้น หาปุ่ม `ลบรายการนี้`
3. กดปุ่ม `ลบรายการนี้` แล้วอ่านข้อความในกล่องยืนยันที่เด้งขึ้น คัดลอกลงช่อง Actual Result
4. กดยกเลิกในกล่องยืนยัน แล้วตรวจว่าแถวยังอยู่ครบไม่หายไป
5. กดปุ่ม `ลบรายการนี้` อีกครั้ง แล้วกดยืนยันการลบ
6. โหลดหน้าใหม่ แล้วตรวจว่าแถวนั้นหายไปจริง
7. เลื่อนไปดูแถวที่ระบบสร้างขึ้นเอง (แถวที่มีข้อมูล SAP หรือ Approved อยู่แล้ว) แล้วดูว่าท้ายแถวมีปุ่มลบหรือไม่</t>
        </is>
      </c>
      <c r="L19" s="20" t="inlineStr">
        <is>
          <t>แถวที่ใช้ทดสอบ: แถวที่เพิ่มเองใหม่ในข้อ 1 (ห้ามใช้แถวที่มียอดของฝ่ายอยู่จริง)
แถวเปรียบเทียบ: แถวที่มีตัวเลขในชั้น SAP หรือชั้น Approved อยู่แล้ว</t>
        </is>
      </c>
      <c r="M19" s="20" t="inlineStr">
        <is>
          <t>1. แถวที่ผู้ใช้เพิ่มเองมีปุ่ม `ลบรายการนี้` อยู่ท้ายแถว
2. กดปุ่มแล้วขึ้นกล่องยืนยันเป็นภาษาไทยที่อ่านเข้าใจ ระบบไม่ลบทันที
3. กดยกเลิกแล้วแถวยังอยู่ครบ ข้อมูลไม่หาย
4. กดยืนยันแล้วแถวหายไปจากตาราง และยังหายอยู่หลังโหลดหน้าใหม่
5. แถวที่ระบบสร้างขึ้นเองไม่มีปุ่มลบให้กด ผู้ใช้ลบไม่ได้
— หมายเหตุสำคัญ —
การลบแถวย้อนกลับไม่ได้จากหน้าจอ ให้ลบเฉพาะแถวที่ตัวเองเพิ่งเพิ่มขึ้นมาเพื่อทดสอบเท่านั้น ห้ามลบแถวที่มียอดงบของฝ่ายอยู่จริง เพราะ UAT รอบนี้เขียนลงฐานข้อมูลจริง</t>
        </is>
      </c>
      <c r="N19" s="51" t="inlineStr">
        <is>
          <t>แถวที่เพิ่มเอง (10IT011300 / 5210400999) มีปุ่ม 'ลบรายการนี้' ท้ายแถว · กดแล้วขึ้นกล่องยืนยันของเบราว์เซอร์ข้อความ: 'ลบรายการนี้? (10IT011300 · 5210400999) / ลบแล้วเรียกคืนไม่ได้' ระบบไม่ลบทันที · กดยกเลิก → แถวยังอยู่ครบ 5 แถว · กดลบอีกครั้งแล้วยืนยัน → แถวหายจากตาราง (เหลือ 4) · reload แล้วยังหายอยู่ · แถวที่ระบบสร้างเอง (10IT013000 ทั้ง 3 แถวที่มีข้อมูล SAP) ไม่มีปุ่มลบเลย</t>
        </is>
      </c>
      <c r="O19" s="21" t="inlineStr">
        <is>
          <t>Pass</t>
        </is>
      </c>
      <c r="P19" s="22" t="n"/>
      <c r="Q19" s="22" t="n"/>
      <c r="R19" s="23" t="inlineStr">
        <is>
          <t>Pornthip</t>
        </is>
      </c>
      <c r="S19" s="24" t="n">
        <v>46274</v>
      </c>
      <c r="T19" s="51" t="inlineStr">
        <is>
          <t>[AI pre-run 09/09/2026] ผ่าน Expected ข้อ 1-5 ทุกข้อ · กล่องยืนยันเป็น window.confirm ของเบราว์เซอร์ ภาษาไทย อ่านเข้าใจ</t>
        </is>
      </c>
    </row>
    <row r="20" ht="288" customHeight="1">
      <c r="A20" s="18" t="inlineStr">
        <is>
          <t>W2</t>
        </is>
      </c>
      <c r="B20" s="18" t="n">
        <v>17</v>
      </c>
      <c r="C20" s="19" t="n">
        <v>18</v>
      </c>
      <c r="D20" s="20" t="inlineStr">
        <is>
          <t>UAT-18</t>
        </is>
      </c>
      <c r="E20" s="20" t="inlineStr">
        <is>
          <t>Budget Entry (Filler)</t>
        </is>
      </c>
      <c r="F20" s="20" t="inlineStr">
        <is>
          <t>Data &amp; Analytic</t>
        </is>
      </c>
      <c r="G20" s="18" t="n"/>
      <c r="H20" s="20" t="inlineStr">
        <is>
          <t>เครื่องมือช่วยดูตารางใช้งานได้จริง — ตัวกรอง 5 คอลัมน์ ลากปรับความกว้างคอลัมน์ ปุ่ม Reset โหมดเต็มจอ และช่อง Remark ที่บันทึกค่าไว้</t>
        </is>
      </c>
      <c r="I20" s="19" t="inlineStr">
        <is>
          <t>Low</t>
        </is>
      </c>
      <c r="J20" s="20" t="inlineStr">
        <is>
          <t>ล็อกอินเป็น Pornthip · อยู่ในตารางกรอกงบของฝ่าย `Data &amp; Analytic` ปี `Year 2026` ที่ยังแก้ไขได้ · ตารางมี 2 ฝั่ง และปุ่ม Reset ความกว้างคอลัมน์มีฝั่งละปุ่ม ทดสอบฝั่งใดฝั่งหนึ่งก็พอ</t>
        </is>
      </c>
      <c r="K20" s="20" t="inlineStr">
        <is>
          <t>1. พิมพ์คำค้นลงช่องกรองของคอลัมน์ Cost Center แล้วดูว่าตารางกรองแถวให้จริง จากนั้นล้างคำค้น
2. ทำแบบเดียวกันทีละช่องกับตัวกรองของคอลัมน์ GL, GL Group และ Status · ส่วนตัวกรองของคอลัมน์ Remark ให้ข้ามไปทดสอบในข้อ 8 หลังจากพิมพ์ข้อความลงช่อง Remark แล้ว เพราะถ้ายังไม่มีข้อความใดในคอลัมน์นั้น การกรองจะไม่พบแถวเลย ซึ่งเป็นผลที่ถูกต้อง ไม่ใช่ข้อผิดพลาด
3. ล้างตัวกรองทั้งหมด แล้วตรวจว่าตารางกลับมาแสดงครบทุกแถว
4. ลากเส้นแบ่งหัวคอลัมน์เพื่อขยายความกว้างของคอลัมน์หนึ่ง แล้วดูว่าความกว้างเปลี่ยนตามจริง
5. กดปุ่ม Reset ความกว้างคอลัมน์ แล้วดูว่าคอลัมน์กลับไปเป็นความกว้างเริ่มต้น
6. กดปุ่มเต็มจอ `⤢` แล้วดูว่าตารางขยายเต็มหน้าจอ จากนั้นกดปุ่ม Esc เพื่อออกจากโหมดเต็มจอ
7. พิมพ์ข้อความลงช่อง Remark ของแถวหนึ่ง แล้วคลิกออกจากช่อง
8. โหลดหน้าใหม่ แล้วตรวจว่าข้อความในช่อง Remark ยังอยู่ จากนั้นพิมพ์คำเดียวกันลงช่องกรองของคอลัมน์ Remark เพื่อทดสอบตัวกรองช่องที่ 5 ให้ครบ แล้วล้างคำค้นออก</t>
        </is>
      </c>
      <c r="L20" s="20" t="inlineStr">
        <is>
          <t>คำค้นสำหรับตัวกรอง Cost Center: `10IT011300`
ข้อความที่ใช้ทดสอบช่อง Remark: `ทดสอบ UAT`
ตัวกรองที่ต้องลองครบ 5 คอลัมน์: Cost Center, GL, GL Group, Remark, Status</t>
        </is>
      </c>
      <c r="M20" s="20" t="inlineStr">
        <is>
          <t>1. ตัวกรองทั้ง 5 คอลัมน์กรองแถวได้จริงทีละคอลัมน์ และล้างคำค้นแล้วตารางกลับมาครบ
2. ลากปรับความกว้างคอลัมน์ได้ และความกว้างเปลี่ยนตามที่ลาก
3. ปุ่ม Reset คืนความกว้างคอลัมน์กลับเป็นค่าเริ่มต้น
4. ปุ่ม `⤢` เข้าโหมดเต็มจอได้ และกด Esc ออกจากโหมดเต็มจอได้
5. ข้อความที่พิมพ์ในช่อง Remark ถูกบันทึก และยังอยู่หลังโหลดหน้าใหม่
— หมายเหตุสำคัญ —
ข้อนี้เป็นเรื่องความสะดวกในการใช้งานประจำวันกับตารางที่มี 12 เดือนและหลายแถว ถ้าใช้แล้วรู้สึกติดขัดหรืออยากได้เพิ่ม ให้เขียนลงช่อง Remarks ไว้แม้ผลจะเป็น Pass · ข้อความที่พิมพ์ในช่อง Remark ถูกบันทึกลงระบบจริง เสร็จแล้วให้ลบออกหรือแก้เป็นข้อความที่ใช้จริง</t>
        </is>
      </c>
      <c r="N20" s="51" t="inlineStr">
        <is>
          <t>ตัวกรอง: Cost Center '10IT011300' → 0 แถว (ถูกต้อง ไม่มีแถว CC นี้แล้ว) · GL '6211100110' → 1 แถว · GL Group 'Travel' → 1 แถว (6210400010) · Status 'Pending' → กรองได้ · ล้างทั้งหมด → กลับมา 3 แถวครบ · ปุ่ม Reset columns กดได้ ความกว้างกลับค่าเริ่มต้น (107/146/234/77 px) · ปุ่มเต็มจอ: กดแล้วปุ่มเปลี่ยนเป็น 'ย่อกลับขนาดปกติ (Esc)' aria-pressed=true · กด Esc → กลับเป็น 'ขยายตารางเต็มหน้าจอ' · Remark: พิมพ์ 'UAT remark test' ที่แถว 6211100110 → reload แล้วยังอยู่ · ตัวกรอง Remark 'UAT remark' → เหลือ 1 แถว · ล้าง → 3 แถว</t>
        </is>
      </c>
      <c r="O20" s="21" t="inlineStr">
        <is>
          <t>Pass</t>
        </is>
      </c>
      <c r="P20" s="22" t="n"/>
      <c r="Q20" s="22" t="n"/>
      <c r="R20" s="23" t="inlineStr">
        <is>
          <t>Pornthip</t>
        </is>
      </c>
      <c r="S20" s="24" t="n">
        <v>46274</v>
      </c>
      <c r="T20" s="51" t="inlineStr">
        <is>
          <t>[AI pre-run 09/09/2026] ผ่าน Expected ข้อ 1, 3, 4, 5 · ข้อ 2 (ลากเส้นแบ่งหัวคอลัมน์เพื่อขยายความกว้าง) automation ไม่ได้ทำ — ให้คนลาก 1 ครั้งแล้วดูว่าความกว้างเปลี่ยน · ข้อความ Remark ทดสอบยังค้างอยู่ในแถว 6211100110 (จะถูกล้างพร้อมข้อมูลรอบนี้)</t>
        </is>
      </c>
    </row>
    <row r="21" ht="228" customHeight="1">
      <c r="A21" s="18" t="inlineStr">
        <is>
          <t>W2</t>
        </is>
      </c>
      <c r="B21" s="18" t="n">
        <v>18</v>
      </c>
      <c r="C21" s="19" t="n">
        <v>19</v>
      </c>
      <c r="D21" s="20" t="inlineStr">
        <is>
          <t>UAT-19</t>
        </is>
      </c>
      <c r="E21" s="20" t="inlineStr">
        <is>
          <t>Budget Entry (Filler)</t>
        </is>
      </c>
      <c r="F21" s="20" t="inlineStr">
        <is>
          <t>Data &amp; Analytic</t>
        </is>
      </c>
      <c r="G21" s="18" t="n"/>
      <c r="H21" s="20" t="inlineStr">
        <is>
          <t>เลือกปีที่ไม่เปิดรับกรอก แล้วระบบต้องปฏิเสธการเพิ่ม Transaction ด้วยข้อความที่ผู้ใช้อ่านรู้เรื่อง และปุ่ม Submit ต้องไม่ปรากฏ</t>
        </is>
      </c>
      <c r="I21" s="19" t="inlineStr">
        <is>
          <t>Medium</t>
        </is>
      </c>
      <c r="J21" s="20" t="inlineStr">
        <is>
          <t>ล็อกอินเป็น Pornthip และอยู่ในหน้ากรอกงบของฝ่าย `Data &amp; Analytic` · ปีงบประมาณ 2027 (หน้าจอแสดงเป็น `Year 2026`) เป็นปีเดียวที่เปิดรับกรอกอยู่ในขณะนี้ ปีอื่นทุกปีในรายการอยู่ในสถานะไม่เปิดรับ</t>
        </is>
      </c>
      <c r="K21" s="20" t="inlineStr">
        <is>
          <t>1. ที่ตัวเลือกปีบน toolbar เปลี่ยนจาก `Year 2026` เป็น `Year 2025`
2. รอให้ตารางโหลดใหม่
3. กดปุ่ม `+ เพิ่ม Transaction` เลือก Cost Center และ GL Code แล้วกดบันทึก
4. คัดลอกข้อความปฏิเสธที่ระบบแสดงลงช่อง Actual Result
5. มองที่แถบอนุมัติว่ามีปุ่ม Submit ให้กดหรือไม่ ถ้าไม่มีให้จดข้อความชี้แจงที่แสดงแทน (ถ้ามี)
6. เปลี่ยนปีกลับเป็น `Year 2026` แล้วยืนยันว่ากลับมาเพิ่มรายการและกรอกยอดได้ตามปกติ</t>
        </is>
      </c>
      <c r="L21" s="20" t="inlineStr">
        <is>
          <t>ปีที่ใช้ทดสอบ: `Year 2025` (= ปีงบประมาณ 2026 ซึ่งไม่มีรอบเปิดรับ)
ปีที่เปิดรับจริง: `Year 2026` (= ปีงบประมาณ 2027)</t>
        </is>
      </c>
      <c r="M21" s="20" t="inlineStr">
        <is>
          <t>1. ระบบไม่ยอมเพิ่มรายการในปีที่ไม่เปิดรับ และแสดงข้อความทำนองว่า `ปีงบประมาณนี้ไม่เปิดให้กรอกในเว็บ…` ซึ่งผู้ใช้อ่านแล้วเข้าใจว่าต้องเปลี่ยนปี
2. ปุ่ม Submit ไม่ปรากฏบนแถบอนุมัติในปีที่ไม่เปิดรับ · ถ้ามีข้อความชี้แจงแสดงแทน (เช่นข้อความภาษาอังกฤษ `This fiscal year is not open for submission yet.`) ให้จดข้อความที่เห็นจริงลงช่อง Actual Result
3. เปลี่ยนปีกลับเป็น `Year 2026` แล้วเพิ่มรายการและกรอกยอดได้ตามปกติ
4. ผู้ทดสอบให้ความเห็นในช่อง Remarks ว่าข้อความปฏิเสธอ่านแล้วเข้าใจหรือไม่
— หมายเหตุสำคัญ —
ปีที่หน้าจอแสดงคือปีงบประมาณลบหนึ่งตามการออกแบบ จอ `Year 2026` หมายถึงปีงบประมาณ 2027 · ขณะนี้ปีงบประมาณ 2027 เป็นปีเดียวที่มีรอบเปิดรับ ปีอื่นทุกปีในรายการจะเจอข้อความปฏิเสธนี้เหมือนกัน ไม่ใช่ข้อผิดพลาด · อย่าลืมเปลี่ยนปีกลับเป็น `Year 2026` ก่อนทำเคสถัดไป</t>
        </is>
      </c>
      <c r="N21" s="51" t="inlineStr">
        <is>
          <t>เปลี่ยนปีเป็น Year 2025: legend เปลี่ยนเป็น SAP (2025) / Approved (2025) / Pending (2026) · ปุ่ม '+ เพิ่ม Transaction' ถูกปิด (disabled) กดไม่ได้ และมีข้อความข้างปุ่ม 'ปีงบประมาณนี้ไม่เปิดให้กรอกในเว็บ — ข้อมูลปีนี้นำเข้าโดยผู้ดูแลระบบ' · ช่องกรอก Pending ทั้งหมดไม่มี (0 ช่อง) · แถบอนุมัติไม่มีปุ่ม Submit แสดง 'Draft — not submitted' และ 'This department has no budget data yet, so it cannot be submitted.' · เปลี่ยนกลับ Year 2026: ปุ่มเพิ่มเปิดใช้ ฟอร์มเปิดได้ ช่องกรอก 24 ช่องกลับมา ปุ่ม Submit กลับมาแสดง</t>
        </is>
      </c>
      <c r="O21" s="21" t="inlineStr">
        <is>
          <t>Pass</t>
        </is>
      </c>
      <c r="P21" s="22" t="n"/>
      <c r="Q21" s="22" t="n"/>
      <c r="R21" s="23" t="inlineStr">
        <is>
          <t>Pornthip</t>
        </is>
      </c>
      <c r="S21" s="24" t="n">
        <v>46274</v>
      </c>
      <c r="T21" s="51" t="inlineStr">
        <is>
          <t>[AI pre-run 09/09/2026] ข้อ 1-3 ตรง Expected (ระบบป้องกันตั้งแต่ปิดปุ่ม ไม่ต้องรอกดบันทึกแล้วปฏิเสธ — เข้มกว่าที่เคสคาด) · ข้อ 4 (ข้อความอ่านเข้าใจไหม) เป็นความเห็นของคน ให้ผู้ทดสอบยืนยันแล้วเปลี่ยนเป็น Pass · jakkaritw ตัดสิน 2026-09-09: อ่านเข้าใจ / ยอมรับได้ → Pass</t>
        </is>
      </c>
    </row>
    <row r="22" ht="576" customHeight="1">
      <c r="A22" s="18" t="inlineStr">
        <is>
          <t>W3</t>
        </is>
      </c>
      <c r="B22" s="18" t="n">
        <v>19</v>
      </c>
      <c r="C22" s="19" t="n">
        <v>20</v>
      </c>
      <c r="D22" s="20" t="inlineStr">
        <is>
          <t>UAT-20</t>
        </is>
      </c>
      <c r="E22" s="20" t="inlineStr">
        <is>
          <t>Special GL Subform</t>
        </is>
      </c>
      <c r="F22" s="20" t="inlineStr">
        <is>
          <t>Data &amp; Analytic</t>
        </is>
      </c>
      <c r="G22" s="18" t="n"/>
      <c r="H22" s="20" t="inlineStr">
        <is>
          <t>กรอกฟอร์มย่อย Entertainment หลายรายการภายใต้ GL เดียวกัน (โดยมี 2 รายการอยู่เดือนเดียวกัน) ตรวจว่ายอดขึ้นตารางหลักแบบแก้ไม่ได้ เปิดกลับมาเห็นค่าครบทุกช่อง และแต่ละรายการถูกเก็บแยกแถว ไม่ยุบรวมเป็นก้อนเดียว</t>
        </is>
      </c>
      <c r="I22" s="19" t="inlineStr">
        <is>
          <t>High</t>
        </is>
      </c>
      <c r="J22" s="20" t="inlineStr">
        <is>
          <t>ล็อกอินเข้าระบบด้วย pornthipp@chememan.com · เลือกฝ่าย "Data &amp; Analytic" · เลือกปี "Year 2026" (= ปีงบประมาณ 2027 ซึ่งเป็นปีเดียวที่เปิดรับ) · สถานะของฝ่ายต้องยังไม่ถูกส่งอนุมัติ คือ chip แสดง `Draft — not submitted` หรือ `Rejected` · ใช้ Cost Center 10IT013000 (หรือ Cost Center ของฝ่าย Data &amp; Analytic ที่ระบบแสดงในตัวเลือก) · ต้องทำเคสนี้ให้เสร็จก่อนระลอก W5 (Submit) เพราะหลัง Submit ฟอร์มย่อยจะเปิดได้แบบอ่านอย่างเดียว</t>
        </is>
      </c>
      <c r="K22" s="20" t="inlineStr">
        <is>
          <t>1. กด "+ เพิ่ม Transaction" เลือก Cost Center 10IT013000 และ GL 6211900030 (Entertainment)
2. กด "+ เพิ่มรายการ" แล้วกรอกแถวที่ 1 ตาม Test Data
3. กด "+ เพิ่มรายการ" อีกครั้ง แล้วกรอกแถวที่ 2 ตาม Test Data
4. กด "+ เพิ่มรายการ" อีกครั้ง แล้วกรอกแถวที่ 3 ตาม Test Data (แถวที่ 3 ใช้เดือนเดียวกับแถวที่ 1 คือ ม.ค. เพื่อดูว่าหลายรายการภายใต้ GL เดียวกันในเดือนเดียวกันถูกรวมยอดอย่างไร)
5. ดูช่อง "รวม" ของทั้ง 3 แถว แถว "Monthly total" และบรรทัดสรุปท้ายฟอร์ม แล้วกด "บันทึก"
6. ที่ตารางหลัก คลิกช่องเดือน ม.ค. ของแถว 6211900030 บรรทัด Pending แล้วลองพิมพ์ตัวเลข และชี้เมาส์ค้างไว้ที่ช่องนั้นเพื่ออ่าน tooltip
7. กด F5 รีเฟรชหน้าจอ แล้วกด "แก้ไขผ่านฟอร์มย่อย ↗" ที่แถวเดิม เพื่อเปิดฟอร์มย่อยกลับมาดู แล้วนับจำนวนแถวในฟอร์ม
8. กด "+ เพิ่ม Transaction" เลือก Cost Center 10IT013000 และ GL 6211900031 แล้วเปิด dropdown "ประเภทการรับรอง" เพื่อเทียบตัวเลือกกับของ GL 6211900030</t>
        </is>
      </c>
      <c r="L22" s="20" t="inlineStr">
        <is>
          <t>แถว 1: ประเภทการรับรอง = Customer · รายละเอียด = เลี้ยงรับรองลูกค้าโครงการ Data Platform · ม.ค. = 15000 · มิ.ย. = 10000
แถว 2: ประเภทการรับรอง = หน่วยงานราชการ · รายละเอียด = รับรองคณะตรวจจากหน่วยงานราชการ · ก.ย. = 8000
แถว 3: ประเภทการรับรอง = Business partner · รายละเอียด = เลี้ยงรับรองพันธมิตรธุรกิจโครงการวิเคราะห์ข้อมูล · ม.ค. = 5000</t>
        </is>
      </c>
      <c r="M22" s="20" t="inlineStr">
        <is>
          <t>⚠ เคสรวม (merged) — 1 แถวแต่มีหลายข้อที่ต้องตรวจ อ่านให้ครบทุกข้อก่อนตัดสิน Pass
1. ฟอร์มย่อยหัวข้อ "รายละเอียด Entertainment" เปิดขึ้นทันที โดยไม่มีแถวใหม่โผล่ในตารางหลัก และ dropdown "ประเภทการรับรอง" ของ GL 6211900030 มี 4 ตัวเลือกให้เลือก: Customer, Business partner, หน่วยงานราชการ, อื่นๆ (ไม่นับบรรทัดแรก "— เลือก —" ซึ่งเป็นค่าว่างเริ่มต้น ไม่ใช่ตัวเลือก)
2. ช่อง "รวม" ของแถว 1 = 25,000.00 · แถว 2 = 8,000.00 · แถว 3 = 5,000.00 · แถว "Monthly total" แสดง ม.ค. 20,000.00 (มาจากแถวที่ 1 จำนวน 15,000 บวกแถวที่ 3 จำนวน 5,000) · มิ.ย. 10,000.00 · ก.ย. 8,000.00 · ท้ายฟอร์มแสดง "Rows: 3 · Year total: ฿38,000.00"
3. กด "บันทึก" แล้วฟอร์มปิดเอง ตารางหลักแถว 10IT013000 / 6211900030 บรรทัด Pending แสดง ม.ค. 20,000.00 · มิ.ย. 10,000.00 · ก.ย. 8,000.00 · ยอดรวมปี 38,000.00 และคอลัมน์ GL Group แสดงป้ายสี "Entertainment"
4. ช่องเดือนในตารางหลักเป็นข้อความ พิมพ์แก้ไม่ได้ ชี้เมาส์แล้วขึ้น tooltip "แก้ไขผ่านฟอร์มย่อย" — แก้ยอดได้ทางฟอร์มย่อยทางเดียวเท่านั้น
5. หลายรายการภายใต้ GL เดียวกันถูกเก็บแยกเป็นคนละแถว ไม่ยุบรวมเป็นก้อนเดียว: ฟอร์มย่อยยังแสดง 3 แถวแยกกัน ในขณะที่ตารางหลักแสดงเป็นแถวเดียวโดยรวมยอดของทุกรายการที่อยู่เดือนเดียวกันเข้าด้วยกัน (ม.ค. = 20,000.00 มาจาก 2 รายการ) — จุดตรวจข้อนี้เดิมเป็นเคส Public Relation &amp; Donation แยกต่างหาก ถูกยุบมารวมไว้ที่เคสนี้
6. หลังรีเฟรชแล้วเปิดฟอร์มย่อยกลับมา ยังเห็นครบ 3 แถวเหมือนเดิม · ค่าใน dropdown และช่องรายละเอียดครบทุกช่อง · ข้อความภาษาไทยตรงกับที่พิมพ์ทุกตัวอักษร
7. dropdown "ประเภทการรับรอง" ของ GL 6211900031 มี 2 ตัวเลือก: พนักงานบริษัท, กรรมการบริษัท (ไม่นับบรรทัดแรก "— เลือก —") ซึ่งเป็นคนละชุดกับของ GL 6211900030
— หมายเหตุสำคัญ —
เคสนี้เป็นเคสรวม 1 แถวแต่มีหลายจุดตรวจ ต้องอ่าน Expected Result ให้ครบทั้ง 7 ข้อก่อนทำเครื่องหมาย Pass · แถวที่ 3 (เดือนเดียวกับแถวที่ 1) ใส่เพิ่มโดยตั้งใจ เพื่อรักษาจุดตรวจของเคส Public Relation &amp; Donation เดิมที่ถูกยุบมารวมไว้ที่นี่ คือหลายรายการภายใต้ GL เดียวกันในเดือนเดียวกันต้องรวมยอดถูกและยังแยกแถวอยู่ · ข้อสังเกตเดิมจาก SIT ที่ยังเป็นแบบนี้โดยตั้งใจ: เมื่อเพิ่ม Transaction ของ Cost Center + GL คู่เดิมไปแล้ว จะเพิ่มซ้ำอีกไม่ได้ · ช่องยอดในฟอร์มย่อยใช้กติกาเดียวกับตารางหลัก คือรับเฉพาะตัวเลขจำนวนเต็มและปัดเป็นหลักร้อย ตัวเลขใน Test Data เป็นหลักร้อยอยู่แล้วจึงไม่ถูกปัด</t>
        </is>
      </c>
      <c r="N22" s="51" t="inlineStr">
        <is>
          <t>เลือก 10IT013000 + 6211900030 แล้วบันทึก → ฟอร์มย่อย 'รายละเอียด Entertainment' เปิดทันที ตารางหลักไม่มีแถวใหม่โผล่ · dropdown ประเภทการรับรอง = Customer / Business partner / หน่วยงานราชการ / อื่นๆ (4 ตัวเลือก ไม่นับ — เลือก —) · กรอก 3 แถวตาม Test Data: รวมแถว 1 = 25,000.00 · แถว 2 = 8,000.00 · แถว 3 = 5,000.00 · MONTHLY TOTAL ม.ค. 20,000.00 · มิ.ย. 10,000.00 · ก.ย. 8,000.00 · ท้ายฟอร์ม 'Rows: 3 · Year total: ฿38,000.00' · กดบันทึก ฟอร์มปิดเอง · ตารางหลักแถว 10IT013000 / 6211900030 Pending: ม.ค. 20,000.00 · มิ.ย. 10,000.00 · ก.ย. 8,000.00 · รวมปี 38,000.00 · GL Group แสดง 'Entertainment' · ช่องเดือนเป็นข้อความ ไม่ใช่ input มี tooltip 'แก้ไขผ่านฟอร์มย่อย' · refresh แล้วเปิดฟอร์มย่อยกลับมา ยังมี 3 แถว ยอดเท่าเดิม Rows: 3 · Year total ฿38,000.00 · GL 6211900031: dropdown = พนักงานบริษัท / กรรมการบริษัท (2 ตัวเลือก) คนละชุดกับ 6211900030</t>
        </is>
      </c>
      <c r="O22" s="21" t="inlineStr">
        <is>
          <t>Pass</t>
        </is>
      </c>
      <c r="P22" s="22" t="n"/>
      <c r="Q22" s="22" t="n"/>
      <c r="R22" s="23" t="inlineStr">
        <is>
          <t>Pornthip</t>
        </is>
      </c>
      <c r="S22" s="24" t="n">
        <v>46274</v>
      </c>
      <c r="T22" s="51" t="inlineStr">
        <is>
          <t>[AI pre-run 09/09/2026] ผ่าน Expected ข้อ 1-7 · ข้อ 6 ส่วน 'ข้อความภาษาไทยตรงทุกตัวอักษร' automation อ่านค่า dropdown/รายละเอียดหลังเปิดกลับมาไม่สำเร็จ (selector ของ dialog ไม่ตรง) แต่ยอดต่อแถวตรงทั้ง 3 แถว — ให้คนเช็คตัวอักษรตอน UAT-23 ซึ่งเปิดฟอร์มนี้อีกครั้ง · แถว 6211900030 (38,000) คงไว้เป็นฐานให้ UAT-23</t>
        </is>
      </c>
    </row>
    <row r="23" ht="276" customHeight="1">
      <c r="A23" s="18" t="inlineStr">
        <is>
          <t>W3</t>
        </is>
      </c>
      <c r="B23" s="18" t="n">
        <v>20</v>
      </c>
      <c r="C23" s="19" t="n">
        <v>21</v>
      </c>
      <c r="D23" s="20" t="inlineStr">
        <is>
          <t>UAT-21</t>
        </is>
      </c>
      <c r="E23" s="20" t="inlineStr">
        <is>
          <t>Special GL Subform</t>
        </is>
      </c>
      <c r="F23" s="20" t="inlineStr">
        <is>
          <t>Data &amp; Analytic</t>
        </is>
      </c>
      <c r="G23" s="18" t="n"/>
      <c r="H23" s="20" t="inlineStr">
        <is>
          <t>กรอกฟอร์มย่อย Professional &amp; Legal Fee โดยแยก Project กับรายละเอียดเป็นคนละช่อง แก้ยอดเดือนของรายการเดิมแล้วยอดที่ตารางหลักขยับตาม และลบบรรทัดได้</t>
        </is>
      </c>
      <c r="I23" s="19" t="inlineStr">
        <is>
          <t>High</t>
        </is>
      </c>
      <c r="J23" s="20" t="inlineStr">
        <is>
          <t>ล็อกอินเข้าระบบด้วย pornthipp@chememan.com · เลือกฝ่าย "Data &amp; Analytic" · เลือกปี "Year 2026" (= ปีงบประมาณ 2027) · สถานะของฝ่ายต้องยังไม่ถูกส่งอนุมัติ (chip แสดง `Draft — not submitted` หรือ `Rejected`) · ใช้ Cost Center 10IT013000</t>
        </is>
      </c>
      <c r="K23" s="20" t="inlineStr">
        <is>
          <t>1. กด "+ เพิ่ม Transaction" เลือก Cost Center 10IT013000 และ GL 6210700020 (ค่าจ้างที่ปรึกษา - ด้านเทคนิค)
2. กด "+ เพิ่มรายการ" แล้วกรอกแถวที่ 1 ตาม Test Data
3. กด "+ เพิ่มรายการ" แล้วกรอกแถวที่ 2 ตาม Test Data
4. กด "บันทึก" แล้วจดยอดรวมปีของแถวนี้ที่ตารางหลักไว้
5. เปิดฟอร์มย่อยเดิมด้วยปุ่ม "แก้ไขผ่านฟอร์มย่อย ↗" แก้ยอดเดือน ก.พ. ของแถวที่ 1 จาก 50000 เป็น 51000 แล้วกด "บันทึก"
6. กลับมาดูตารางหลัก แล้วจดยอดเดือน ก.พ. และยอดรวมปีใหม่
7. เปิดฟอร์มย่อยอีกครั้ง กดปุ่มถังขยะที่แถวที่ 2 แล้วกดยืนยันในกล่องที่ขึ้นมา จากนั้นกลับมาดูตารางหลัก</t>
        </is>
      </c>
      <c r="L23" s="20" t="inlineStr">
        <is>
          <t>แถว 1: Project = Data Platform Phase 2 · รายละเอียด = ที่ปรึกษาออกแบบสถาปัตยกรรมข้อมูล · ก.พ. = 50000 · พ.ค. = 50000
แถว 2: Project = Data Governance · รายละเอียด = ที่ปรึกษาวางนโยบายธรรมาภิบาลข้อมูล · ส.ค. = 40000
การแก้ไขในขั้นตอนที่ 5: ก.พ. ของแถวที่ 1 เปลี่ยนจาก 50000 เป็น 51000</t>
        </is>
      </c>
      <c r="M23" s="20" t="inlineStr">
        <is>
          <t>1. ฟอร์มย่อยแสดง 2 คอลัมน์ก่อนช่องเดือน คือ "Project" และ "รายละเอียด" เป็นช่องพิมพ์แยกกัน ไม่ใช่ช่องเดียวรวมกัน
2. ท้ายฟอร์มแสดง "Rows: 2 · Year total: ฿140,000.00"
3. หลังบันทึก ตารางหลักแถว 6210700020 บรรทัด Pending แสดง ก.พ. 50,000.00 · พ.ค. 50,000.00 · ส.ค. 40,000.00 · ยอดรวมปี 140,000.00
4. หลังแก้ ก.พ. เป็น 51000 แล้วบันทึก ตารางหลักแสดง ก.พ. 51,000.00 และยอดรวมปีเปลี่ยนเป็น 141,000.00 ทันที (ยอดที่ตารางหลักขยับตามการแก้ในฟอร์มย่อยเสมอ)
5. ก่อนลบบรรทัด มีกล่องยืนยัน "ลบรายการนี้?" ขึ้นก่อน
6. หลังลบแถวที่ 2 ช่องเดือน ส.ค. ของแถวนี้ในตารางหลักกลายเป็นขีด "—" ไม่ใช่ตัวเลข 0.00 (ระบบแสดงยอดศูนย์เป็นขีดทุกช่อง ถูกต้องตามการออกแบบ) และยอดรวมปีเปลี่ยนเป็น 101,000.00
— หมายเหตุสำคัญ —
ยอดที่ใช้ทดสอบทุกตัวเป็นจำนวนเต็มหลักร้อยอยู่แล้ว จึงไม่ถูกกติกาปัดเป็นหลักร้อยปรับค่า · ทำเคสนี้ก่อนระลอก W5 (Submit) เพราะหลัง Submit จะแก้และลบบรรทัดไม่ได้</t>
        </is>
      </c>
      <c r="N23" s="51" t="inlineStr">
        <is>
          <t>ฟอร์มย่อย 'รายละเอียด Professional &amp; Legal Fee' มีคอลัมน์ PROJECT และ รายละเอียด เป็นช่องพิมพ์แยกกัน · แถว 1 รวม 100,000.00 · แถว 2 รวม 40,000.00 · MONTHLY TOTAL ก.พ. 50,000 / พ.ค. 50,000 / ส.ค. 40,000 · ท้ายฟอร์ม 'Rows: 2 · Year total: ฿140,000.00' · บันทึกแล้วตารางหลัก 6210700020 Pending: ก.พ. 50,000.00 · พ.ค. 50,000.00 · ส.ค. 40,000.00 · รวมปี 140,000.00 · เปิดฟอร์มแก้ ก.พ. แถว 1 เป็น 51000 บันทึก → ตารางหลัก ก.พ. 51,000.00 รวมปี 141,000.00 ทันที · เปิดฟอร์มกดถังขยะแถว 2 → กล่องยืนยัน 'ลบรายการนี้?' → ยืนยัน → ฟอร์มเหลือ Rows: 1 · Year total ฿101,000.00 · บันทึก → ตารางหลัก ส.ค. แสดง '—' (ไม่ใช่ 0.00) รวมปี 101,000.00</t>
        </is>
      </c>
      <c r="O23" s="21" t="inlineStr">
        <is>
          <t>Pass</t>
        </is>
      </c>
      <c r="P23" s="22" t="n"/>
      <c r="Q23" s="22" t="n"/>
      <c r="R23" s="23" t="inlineStr">
        <is>
          <t>Pornthip</t>
        </is>
      </c>
      <c r="S23" s="24" t="n">
        <v>46274</v>
      </c>
      <c r="T23" s="51" t="inlineStr">
        <is>
          <t>[AI pre-run 09/09/2026] ผ่าน Expected ข้อ 1-6 ทุกข้อ · แถว 6210700020 (101,000) คงไว้ในระบบเป็นข้อมูลรอบทดสอบ</t>
        </is>
      </c>
    </row>
    <row r="24" ht="444" customHeight="1">
      <c r="A24" s="18" t="inlineStr">
        <is>
          <t>W3</t>
        </is>
      </c>
      <c r="B24" s="18" t="n">
        <v>21</v>
      </c>
      <c r="C24" s="19" t="n">
        <v>22</v>
      </c>
      <c r="D24" s="20" t="inlineStr">
        <is>
          <t>UAT-22</t>
        </is>
      </c>
      <c r="E24" s="20" t="inlineStr">
        <is>
          <t>Special GL Subform</t>
        </is>
      </c>
      <c r="F24" s="20" t="inlineStr">
        <is>
          <t>Data &amp; Analytic</t>
        </is>
      </c>
      <c r="G24" s="18" t="n"/>
      <c r="H24" s="20" t="inlineStr">
        <is>
          <t>กรอกฟอร์มย่อย Lease &amp; Rental ครบ 4 ช่อง รวมกรณีเลือกทะเบียนรถ "อื่นๆ" แล้วพิมพ์ทะเบียนเอง และปิดคำถามค้างจาก SIT ว่าเว้นช่องรายละเอียดกิจกรรมได้หรือไม่</t>
        </is>
      </c>
      <c r="I24" s="19" t="inlineStr">
        <is>
          <t>High</t>
        </is>
      </c>
      <c r="J24" s="20" t="inlineStr">
        <is>
          <t>ล็อกอินเข้าระบบด้วย pornthipp@chememan.com · เลือกฝ่าย "Data &amp; Analytic" · เลือกปี "Year 2026" (= ปีงบประมาณ 2027) · สถานะของฝ่ายต้องยังไม่ถูกส่งอนุมัติ (chip แสดง `Draft — not submitted` หรือ `Rejected`) · ใช้ Cost Center 10IT013000</t>
        </is>
      </c>
      <c r="K24" s="20" t="inlineStr">
        <is>
          <t>1. กด "+ เพิ่ม Transaction" เลือก Cost Center 10IT013000 และ GL 6211200060 (ค่าเช่า - ยานพาหนะ)
2. กด "+ เพิ่มรายการ" แล้วกรอกแถวที่ 1 ตาม Test Data
3. กด "+ เพิ่มรายการ" แล้วกรอกแถวที่ 2 โดยเลือกทะเบียนรถ = "อื่นๆ" แต่ยังไม่พิมพ์อะไรในช่องที่โผล่ขึ้นมา แล้วกด "บันทึก"
4. พิมพ์ทะเบียนจริงตาม Test Data ลงช่องที่โผล่ขึ้นมา แล้วกด "บันทึก" อีกครั้ง
5. กด "+ เพิ่ม Transaction" เลือก Cost Center 10IT013000 และ GL 6211200050 (ค่าเช่า - คอมพิวเตอร์) แล้วกด "+ เพิ่มรายการ"
6. กรอกแถวนี้ตาม Test Data แล้วกด "บันทึก" จากนั้นเปิดฟอร์มย่อยของ GL 6211200060 กลับมาดูอีกครั้ง
7. (ปิดคำถามค้างจาก SIT) ที่ฟอร์มย่อยของ GL 6211200050 กด "+ เพิ่มรายการ" อีก 1 แถว กรอกเฉพาะ "สถานที่ใช้งาน" = BK และยอดเดือน ต.ค. = 5000 โดยเว้นช่อง "กิจกรรม" ว่างไว้ แล้วกด "บันทึก" · จดผลที่เกิดขึ้นและข้อความที่ระบบแสดงลงช่อง Actual Result
8. ถ้าระบบยอมบันทึกแถวในขั้นตอนที่ 7 ให้ลบแถวนั้นออกด้วยปุ่มถังขยะ เพื่อให้ข้อมูลกลับไปเท่ากับก่อนเริ่มเคส</t>
        </is>
      </c>
      <c r="L24" s="20" t="inlineStr">
        <is>
          <t>แถว 1 (GL 6211200060): ประเภทรถ = Van · ทะเบียนรถ = 6ขผ-3918 · สถานที่ใช้งาน = BK · กิจกรรม = รถรับส่งทีม Data &amp; Analytic · เม.ย. = 20000
แถว 2 (GL 6211200060): ประเภทรถ = Car · ทะเบียนรถ = อื่นๆ แล้วพิมพ์ 9กก-1234 · สถานที่ใช้งาน = RY · กิจกรรม = รถผู้บริหารสายงาน Digital · ต.ค. = 12000
แถว 3 (GL 6211200050): สถานที่ใช้งาน = BK · กิจกรรม = เช่าโน้ตบุ๊กทีมวิเคราะห์ข้อมูล · ก.ค. = 36000
แถวทดสอบขั้นตอนที่ 7 (GL 6211200050): สถานที่ใช้งาน = BK · กิจกรรม = (เว้นว่าง) · ต.ค. = 5000</t>
        </is>
      </c>
      <c r="M24" s="20" t="inlineStr">
        <is>
          <t>1. GL 6211200060 แสดง 4 คอลัมน์: ประเภทรถ (dropdown Car / Van / Trucks), ทะเบียนรถ (dropdown 7 ทะเบียน + อื่นๆ), สถานที่ใช้งาน (dropdown BK / TK / KK / PB / RY), กิจกรรม (ช่องพิมพ์)
2. เลือกทะเบียนรถ = อื่นๆ แล้วมีช่องพิมพ์ทะเบียนโผล่ขึ้นมาข้างใต้ · กด "บันทึก" ทั้งที่ช่องนั้นยังว่าง ฟอร์มยังเปิดอยู่ ไม่ปิดตัวเอง และมีข้อความสีแดงขึ้นใต้ตาราง (ไม่ได้ขึ้นบนแถวนั้น) ว่า "รายการที่ 2: กรุณาเลือกทะเบียนรถ" — ระบบใช้คำว่า "เลือก" ไม่ใช่ "พิมพ์" เพราะทะเบียนรถเป็น dropdown ที่มีช่องพิมพ์ซ่อนอยู่ข้างใต้
3. พิมพ์ 9กก-1234 แล้วกด "บันทึก" ฟอร์มปิดเอง
4. GL 6211200050 แสดงคอลัมน์ ประเภทรถ และ ทะเบียนรถ เป็นเครื่องหมาย "—" พิมพ์ไม่ได้ ส่วน สถานที่ใช้งาน และ กิจกรรม กรอกได้ (GL คนละประเภทเปิดช่องไม่เหมือนกัน)
5. ตารางหลัก 6211200060 บรรทัด Pending แสดง เม.ย. 20,000.00 · ต.ค. 12,000.00 · ยอดรวมปี 32,000.00 และ 6211200050 แสดง ก.ค. 36,000.00
6. เปิดฟอร์มย่อย 6211200060 กลับมา แถวที่ 2 แสดง dropdown ค้างที่ "อื่นๆ" และช่องข้างใต้แสดง 9กก-1234
7. คำถามค้างจาก SIT (Note ข้อ 3 "สามารถเว้นการกรอกรายละเอยดกิจกรรมได้??"): ผลที่คาดหวังตามการแก้ไขหลังรอบ SIT คือ ทุกช่องที่กรอกได้ในฟอร์มย่อยเป็นช่องบังคับ ระบบจึงต้อง **ไม่ยอมบันทึก** แถวที่เว้นช่อง "กิจกรรม" และต้องบอกให้รู้ว่าช่องไหนขาด — ข้อความที่คาดว่าจะเห็นคือ "รายการที่ &lt;เลขแถว&gt;: กรุณากรอกกิจกรรม" ขึ้นใต้ตาราง · ให้จดข้อความจริงที่เห็นลงช่อง Actual Result เพื่อปิดคำถามข้อนี้ · ถ้ายังบันทึกได้ ให้ mark Fail และเปิดแถวใหม่ในแท็บ "4. Defects"
— หมายเหตุสำคัญ —
คำถามข้อ 3 ในแท็บ Note ของ workbook รอบ SIT ("ข้อ TC060 : สามารถเว้นการกรอกรายละเอยดกิจกรรมได้??") ยังไม่เคยมีคำตอบเป็นลายลักษณ์อักษร เคสนี้คือการปิดคำถามนั้น จึงต้องเขียนคำตอบจริงลงช่อง Actual Result ไม่ใช่ทำเครื่องหมาย Pass อย่างเดียว</t>
        </is>
      </c>
      <c r="N24" s="51" t="inlineStr">
        <is>
          <t>GL 6211200060: ฟอร์ม 'รายละเอียด Lease &amp; Rental' มี 4 คอลัมน์ ประเภทรถ (Car/Van/Trucks) · ทะเบียนรถ (6ขผ-3918, 1นจ-3508, 6ขจ-3513, 5ขง-5712, 1นจ-1468, 6ขผ-8150, 7ขถ-9660, อื่นๆ = 7 ทะเบียน + อื่นๆ) · สถานที่ใช้งาน (BK/TK/KK/PB/RY) · กิจกรรม (ช่องพิมพ์) · แถว 2 เลือก อื่นๆ → ช่อง 'พิมพ์ทะเบียนรถ' โผล่ใต้ dropdown · กดบันทึกทั้งที่ช่องนั้นว่าง → ฟอร์มยังเปิด ข้อความใต้ตาราง 'รายการที่ N: กรุณาเลือกทะเบียนรถ' (ยืนยันซ้ำด้วยแถวทดสอบที่ 3: 'รายการที่ 3: กรุณาเลือกทะเบียนรถ') · พิมพ์ 9กก-1234 แล้วบันทึก → ฟอร์มปิด · ตารางหลัก 6211200060: เม.ย. 20,000.00 · ต.ค. 12,000.00 · รวมปี 32,000.00 · เปิดกลับมา แถว 2 dropdown ค้างที่ อื่นๆ และช่องใต้แสดง 9กก-1234 · GL 6211200050: ประเภทรถ และ ทะเบียนรถ แสดง '—' พิมพ์ไม่ได้ ส่วน สถานที่ใช้งาน (dropdown) และ กิจกรรม (พิมพ์) กรอกได้ · กรอก BK / เช่าโน้ตบุ๊กทีมวิเคราะห์ข้อมูล / ก.ค. 36000 บันทึก → ตารางหลัก ก.ค. 36,000.00 · ปิดคำถาม SIT ข้อ 3: เพิ่มแถวกรอกเฉพาะ สถานที่ใช้งาน=BK + ต.ค. 5000 เว้น กิจกรรม → ระบบไม่ยอมบันทึก ฟอร์มยังเปิด ข้อความ 'รายการที่ 2: กรุณากรอกกิจกรรม' · ลบแถวทดสอบ (ยังไม่เคยบันทึก) ระบบลบทันทีไม่มีกล่องยืนยัน · ตารางหลัก 6211200050 ยังเป็น ก.ค. 36,000.00 / ต.ค. — / รวม 36,000.00</t>
        </is>
      </c>
      <c r="O24" s="21" t="inlineStr">
        <is>
          <t>Pass</t>
        </is>
      </c>
      <c r="P24" s="22" t="n"/>
      <c r="Q24" s="22" t="n"/>
      <c r="R24" s="23" t="inlineStr">
        <is>
          <t>Pornthip</t>
        </is>
      </c>
      <c r="S24" s="24" t="n">
        <v>46274</v>
      </c>
      <c r="T24" s="51" t="inlineStr">
        <is>
          <t>[AI pre-run 09/09/2026] ผ่าน Expected ข้อ 1-7 ทุกข้อ · คำถามค้างจาก SIT (เว้นกิจกรรมแล้วบันทึกได้ไหม) ปิดได้: บันทึกไม่ได้ ระบบระบุช่องที่ขาด · ระบบแจ้งทีละช่อง (ช่องแรกที่ขาด) ตามการออกแบบ</t>
        </is>
      </c>
    </row>
    <row r="25" ht="396" customHeight="1">
      <c r="A25" s="18" t="inlineStr">
        <is>
          <t>W3</t>
        </is>
      </c>
      <c r="B25" s="18" t="n">
        <v>22</v>
      </c>
      <c r="C25" s="19" t="n">
        <v>23</v>
      </c>
      <c r="D25" s="20" t="inlineStr">
        <is>
          <t>UAT-23</t>
        </is>
      </c>
      <c r="E25" s="20" t="inlineStr">
        <is>
          <t>Special GL Subform</t>
        </is>
      </c>
      <c r="F25" s="20" t="inlineStr">
        <is>
          <t>Data &amp; Analytic</t>
        </is>
      </c>
      <c r="G25" s="18" t="n"/>
      <c r="H25" s="20" t="inlineStr">
        <is>
          <t>เว้นช่องบังคับไว้ 1 ช่องแล้วกดบันทึกในฟอร์มย่อย ระบบต้องไม่ยอมบันทึกและต้องระบุช่องที่ขาด ทดสอบทั้ง Entertainment และ Lease &amp; Rental</t>
        </is>
      </c>
      <c r="I25" s="19" t="inlineStr">
        <is>
          <t>High</t>
        </is>
      </c>
      <c r="J25" s="20" t="inlineStr">
        <is>
          <t>ล็อกอินเข้าระบบด้วย pornthipp@chememan.com · เลือกฝ่าย "Data &amp; Analytic" · เลือกปี "Year 2026" (= ปีงบประมาณ 2027) · สถานะของฝ่ายต้องยังไม่ถูกส่งอนุมัติ (chip แสดง `Draft — not submitted` หรือ `Rejected`) · ต้องทำ UAT-20 และ UAT-22 มาก่อน เพื่อให้มีแถว Entertainment (GL 6211900030) และ Lease &amp; Rental (GL 6211200060) ของ Cost Center 10IT013000 อยู่แล้ว</t>
        </is>
      </c>
      <c r="K25" s="20" t="inlineStr">
        <is>
          <t>1. เปิดฟอร์มย่อยของ GL 6211900030 (Entertainment) ด้วยปุ่ม "แก้ไขผ่านฟอร์มย่อย ↗"
2. กด "+ เพิ่มรายการ" 1 แถว กรอกเฉพาะช่อง "รายละเอียด" และยอดเดือน ต.ค. โดยเว้น dropdown "ประเภทการรับรอง" ไว้ที่ค่าว่าง แล้วกด "บันทึก"
3. จดข้อความที่ระบบแสดง และจดว่าข้อความขึ้นตรงไหน (บนแถวนั้น หรือหัวฟอร์ม) ลงช่อง Actual Result
4. เลือก "ประเภทการรับรอง" ให้ครบ แล้วกด "บันทึก" อีกครั้ง
5. เปิดฟอร์มย่อยของ GL 6211200060 (Lease &amp; Rental) กด "+ เพิ่มรายการ" 1 แถว กรอกเฉพาะ "สถานที่ใช้งาน" = BK และยอดเดือน ต.ค. โดยเว้น "ประเภทรถ" / "ทะเบียนรถ" / "กิจกรรม" ว่างไว้ แล้วกด "บันทึก"
6. จดข้อความที่ระบบแสดงลงช่อง Actual Result
7. ลบแถวทดสอบทั้ง 2 แถวออกด้วยปุ่มถังขยะ · แถวที่บันทึกลงฐานข้อมูลไปแล้ว (แถว Entertainment ที่บันทึกสำเร็จในขั้นตอนที่ 4) จะมีกล่องยืนยัน "ลบรายการนี้?" ขึ้นก่อน ให้กดยืนยัน · ส่วนแถว Lease &amp; Rental ที่บันทึกไม่ผ่าน ยังไม่เคยลงฐานข้อมูล ระบบจะลบทิ้งทันทีโดยไม่มีกล่องยืนยัน ซึ่งถูกต้องตามการออกแบบ · เมื่อลบครบแล้วยอดต้องกลับไปเท่ากับก่อนเริ่มเคส</t>
        </is>
      </c>
      <c r="L25" s="20" t="inlineStr">
        <is>
          <t>แถวทดสอบ Entertainment (GL 6211900030): ประเภทการรับรอง = (เว้นว่าง) · รายละเอียด = ทดสอบช่องบังคับ · ต.ค. = 1000
แถวทดสอบ Lease &amp; Rental (GL 6211200060): ประเภทรถ = (เว้นว่าง) · ทะเบียนรถ = (เว้นว่าง) · สถานที่ใช้งาน = BK · กิจกรรม = (เว้นว่าง) · ต.ค. = 1000</t>
        </is>
      </c>
      <c r="M25" s="20" t="inlineStr">
        <is>
          <t>1. Entertainment: กด "บันทึก" ทั้งที่ยังไม่เลือก "ประเภทการรับรอง" แล้วฟอร์มยังเปิดอยู่ ไม่ปิดตัวเอง และมีข้อความสีแดงขึ้นใต้ตาราง (ไม่ได้ขึ้นบนแถวนั้น) ว่า "รายการที่ &lt;เลขแถว&gt;: กรุณาเลือกประเภทการรับรอง" (จดข้อความจริงลง Actual Result)
2. ข้อความที่ขึ้นต้องเป็นภาษาที่ผู้ใช้อ่านรู้เรื่อง ไม่ใช่ error ดิบของระบบ (เช่น รหัส 400 หรือข้อความภาษาโปรแกรม)
3. หลังเลือกช่องที่ขาดจนครบแล้วกด "บันทึก" อีกครั้ง ฟอร์มปิดเองและยอดขึ้นที่ตารางหลักตามปกติ
4. Lease &amp; Rental: แถวที่เว้น "ประเภทรถ" / "ทะเบียนรถ" / "กิจกรรม" ก็บันทึกไม่ผ่านเช่นกัน ฟอร์มยังเปิดอยู่และระบุช่องที่ขาด · ข้อสำคัญ: ระบบขึ้นชื่อช่องที่ขาด "ทีละช่อง" คือช่องแรกที่ยังไม่ครบเท่านั้น กรณีนี้จะได้ "รายการที่ &lt;เลขแถว&gt;: กรุณาเลือกประเภทรถ" — พอกรอกช่องนั้นแล้วกดบันทึกอีกครั้ง จึงจะขึ้นชื่อช่องถัดไป การขึ้นทีละช่องแบบนี้ถูกต้องตามการออกแบบ ไม่ใช่ข้อผิดพลาด
5. ข้อร้องเรียนข้อ 2 จากรอบ SIT ("บางรายการที่เพิ่ม transaction เอง แต่ไม่ได้ใส่ข้อมูลครบ เช่น ใส่แค่สถานที่ใช้งาน สามารถกดบันทึกได้") ต้องไม่เกิดขึ้นอีก — ถ้ายังบันทึกได้ ให้ mark Fail และเปิดแถวใหม่ในแท็บ "4. Defects"
6. หลังลบแถวทดสอบทั้ง 2 แถวแล้ว ยอดในตารางหลักกลับไปเท่ากับก่อนเริ่มเคส
— หมายเหตุสำคัญ —
นี่คือข้อร้องเรียนข้อ 2 จากรอบ SIT ที่ยังไม่ถูกปิด · ทีมพัฒนาแก้เรื่องช่องบังคับไปแล้วหลังรอบ SIT แต่ไม่เคยมีเคสในเอกสารทดสอบ รอบนี้จึงต้องบันทึกผลจริงเป็นลายลักษณ์อักษร · แถวที่สร้างในเคสนี้เป็นข้อมูลจริงในฐานข้อมูล production ต้องลบออกให้ครบตามขั้นตอนที่ 7</t>
        </is>
      </c>
      <c r="N25" s="51" t="inlineStr">
        <is>
          <t>Entertainment (6211900030): เพิ่มแถวที่ 4 กรอก รายละเอียด='ทดสอบช่องบังคับ' + ต.ค. 1000 เว้น ประเภทการรับรอง ว่าง → กดบันทึก ฟอร์มยังเปิดอยู่ ไม่ปิดเอง ข้อความสีแดงใต้ตาราง 'รายการที่ 4: กรุณาเลือกประเภทการรับรอง' (ขึ้นใต้ตาราง ไม่ได้ขึ้นบนแถว) · เลือกประเภท อื่นๆ แล้วบันทึก → ฟอร์มปิดเอง ตารางหลักรวมปี 38,000 → 39,000 · Lease &amp; Rental (6211200060): เพิ่มแถวที่ 3 กรอกเฉพาะ สถานที่ใช้งาน=BK + ต.ค. 1000 → กดบันทึก ฟอร์มยังเปิด ข้อความ 'รายการที่ 3: กรุณาเลือกประเภทรถ' (แจ้งช่องแรกที่ขาดทีละช่อง) · ลบแถวทดสอบ Lease (ยังไม่เคยบันทึก) หายทันทีไม่มีกล่องยืนยัน ตารางหลัก 6211200060 ยังเป็น 32,000.00 · หลังล็อกอินใหม่ ลบแถว Entertainment ที่บันทึกแล้ว (แถว 4) → กล่องยืนยัน 'ลบรายการนี้?' → ยืนยัน → บันทึก → ตารางหลัก 6211900030 กลับเป็น 38,000.00 เท่าก่อนเริ่มเคส</t>
        </is>
      </c>
      <c r="O25" s="21" t="inlineStr">
        <is>
          <t>Pass</t>
        </is>
      </c>
      <c r="P25" s="22" t="n"/>
      <c r="Q25" s="22" t="n"/>
      <c r="R25" s="23" t="inlineStr">
        <is>
          <t>Pornthip</t>
        </is>
      </c>
      <c r="S25" s="24" t="n">
        <v>46274</v>
      </c>
      <c r="T25" s="51" t="inlineStr">
        <is>
          <t>[AI pre-run 09/09/2026] ผ่าน Expected ข้อ 1-6 ทุกข้อ · ข้อร้องเรียน SIT ข้อ 2 ไม่เกิดซ้ำ: กรอกไม่ครบบันทึกไม่ได้ทั้ง Entertainment และ Lease &amp; Rental · ระบบแจ้งช่องที่ขาดทีละช่อง ใต้ตาราง ตามการออกแบบ</t>
        </is>
      </c>
    </row>
    <row r="26" ht="620" customHeight="1">
      <c r="A26" s="18" t="inlineStr">
        <is>
          <t>W3</t>
        </is>
      </c>
      <c r="B26" s="18" t="n">
        <v>23</v>
      </c>
      <c r="C26" s="19" t="n">
        <v>24</v>
      </c>
      <c r="D26" s="20" t="inlineStr">
        <is>
          <t>UAT-24</t>
        </is>
      </c>
      <c r="E26" s="20" t="inlineStr">
        <is>
          <t>Special GL Subform</t>
        </is>
      </c>
      <c r="F26" s="20" t="inlineStr">
        <is>
          <t>Data &amp; Analytic</t>
        </is>
      </c>
      <c r="G26" s="18" t="n"/>
      <c r="H26" s="20" t="inlineStr">
        <is>
          <t>สร้างทริปเดินทาง 1 ใบ แล้วตรวจ 4 อย่างในรอบเดียว: ค้นหาปลายทางแบบพิมพ์ค้นได้ · ตาราง B แสดง 3 ประเภทค่าใช้จ่าย · ช่องรายละเอียดพิมพ์ได้และบันทึกอยู่ · ยอดกระจายไปที่ GL คนละแถวในตารางหลัก</t>
        </is>
      </c>
      <c r="I26" s="19" t="inlineStr">
        <is>
          <t>High</t>
        </is>
      </c>
      <c r="J26" s="20" t="inlineStr">
        <is>
          <t>ล็อกอินเข้าระบบด้วย pornthipp@chememan.com · เลือกฝ่าย "Data &amp; Analytic" · เลือกปี "Year 2026" (= ปีงบประมาณ 2027) · สถานะของฝ่ายต้องยังไม่ถูกส่งอนุมัติ (chip แสดง `Draft — not submitted` หรือ `Rejected`) · ตาราง master อัตราเบี้ยเลี้ยงและอัตราแลกเปลี่ยนของปีนั้นมีข้อมูลแล้ว · ใช้ Cost Center 10IT013000</t>
        </is>
      </c>
      <c r="K26" s="20" t="inlineStr">
        <is>
          <t>1. กด "+ เพิ่ม Transaction" เลือก Cost Center 10IT013000 และ GL 6210400020 (ค่าพาหนะเดินทาง) เพื่อเปิดหน้าต่าง Trip Manager
2. กด "+ เพิ่มทริป"
3. เว้นช่องผู้เดินทางไว้ก่อน แล้วกด "บันทึก &amp; ลงบัญชี"
4. กรอกหัวทริปตาม Test Data โดยที่ช่องปลายทางให้พิมพ์คำว่า "Sing" แล้วเลือก Singapore จากรายการที่ระบบกรองมาให้
5. เปิดรายการปลายทางอีกครั้ง แล้วเลื่อนดูรายการจนสุด · รายการเรียงตามกลุ่มประเทศเสมอ คือ กลุ่มในประเทศขึ้นก่อน ตามด้วยกลุ่มอาเซียน แล้วกลุ่มต่างประเทศอื่น ๆ ท้ายสุด แต่หน้าจอ **ไม่ได้เขียนชื่อกลุ่มกำกับไว้** ให้เห็น · ให้เลือกประเทศท้าย ๆ ของรายการ 1 ประเทศ (คนละประเทศกับ Singapore) ดูว่าเลือกได้จริงหรือไม่ · จดชื่อประเทศที่เลือกลงช่อง Actual Result เพื่อให้ผู้ดูแลระบบยืนยันภายหลังได้ว่าอยู่กลุ่มไหน · จากนั้นเปลี่ยนปลายทางกลับเป็น Singapore
6. กดเลือกเดือนที่เดินทางตาม Test Data
7. ในตาราง "B — ค่าใช้จ่าย 3 ประเภท" นับจำนวนแถวและอ่านป้าย GL ของทุกแถว แล้วลองคลิกช่องเดือนของแถว "เบี้ยเลี้ยง" พร้อมชี้เมาส์ค้างไว้เพื่ออ่าน tooltip
8. กรอกยอด 2 แถวที่กรอกเองตาม Test Data (ค่าพาหนะเดินทาง / ค่าที่พัก)
9. พิมพ์ข้อความลงช่อง "รายละเอียด" ตาม Test Data แล้วกด "บันทึก &amp; ลงบัญชี"
10. ปิดหน้าต่าง ดูตารางหลัก จากนั้นกด F5 รีเฟรช แล้วเปิด Trip Manager กลับมาอีกครั้ง
11. ทดสอบความยาวข้อความ: พิมพ์ข้อความยาวเกือบเต็มขีดจำกัด แต่ไม่เกิน 500 ตัวอักษร (ประมาณ 480-500 ตัวอักษร) ลงช่อง "รายละเอียด" กด "บันทึก &amp; ลงบัญชี" ปิดแล้วเปิดกลับมาดูอีกครั้ง</t>
        </is>
      </c>
      <c r="L26" s="20" t="inlineStr">
        <is>
          <t>ผู้เดินทาง = พรทิพย์ เพิ่มทรัพย์หิรัญ (ค้นด้วยคำว่า "พรทิพย์") · ปลายทาง = Singapore (ค้นด้วยคำว่า "Sing") · Project = Data Platform Phase 2 · วัตถุประสงค์ = ประชุมผู้ให้บริการระบบข้อมูล · จำนวนวัน = 5 · เดือนที่เดินทาง = พ.ค.
ค่าพาหนะเดินทาง พ.ค. = 18000 · ค่าที่พัก พ.ค. = 25000
รายละเอียด (รอบแรก) = ค่าวีซ่าและประกันการเดินทาง
รายละเอียด (รอบทดสอบความยาว) = ข้อความยาวไม่เกิน 500 ตัวอักษร (ประมาณ 480-500) เช่น คัดลอกประโยคเดิมซ้ำ ๆ จนครบความยาว</t>
        </is>
      </c>
      <c r="M26" s="20" t="inlineStr">
        <is>
          <t>⚠ เคสรวม (merged) — 1 แถวแต่มีหลายข้อที่ต้องตรวจ อ่านให้ครบทุกข้อก่อนตัดสิน Pass
1. หน้าต่าง Trip Manager เปิดขึ้นโดยช่อง "ฝั่งบัญชี" ถูกล็อกไว้ กดเปลี่ยนไม่ได้ และแสดงข้อความว่า "ฝั่งบริหาร / ขาย · SG&amp;A (6xxx)" ตามแถว GL ขึ้นต้นด้วย 6 ที่เปิดฟอร์มมา · กด "บันทึก &amp; ลงบัญชี" ตอนยังไม่เลือกผู้เดินทาง หน้าต่างยังเปิดอยู่ และการ์ดทริปขึ้นข้อความ "กรุณาระบุผู้เดินทาง"
2. ช่องปลายทางเป็นช่องพิมพ์ค้นหาได้ ไม่ใช่ dropdown ธรรมดา — พิมพ์ "Sing" แล้วรายการกรองเหลือ Singapore ให้เลือกได้ · ประเทศท้าย ๆ ของรายการ (กลุ่มต่างประเทศอื่น ๆ) ก็เลือกได้เช่นกัน · รายการแสดงเฉพาะชื่อประเทศ ไม่มีป้ายบอกกลุ่มประเทศ เป็นแบบนี้มาตั้งแต่ต้น ไม่ใช่ข้อผิดพลาด ให้จดเป็นข้อสังเกตลง Remarks ได้
3. ตารางค่าใช้จ่ายมีหัวข้อ "B — ค่าใช้จ่าย 3 ประเภท" และแสดง 3 แถวเท่านั้น: "เบี้ยเลี้ยง Per Diem" 6210400010 · "ค่าพาหนะเดินทาง" 6210400020 · "ค่าที่พัก" 6210400030 — ต้อง **ไม่มี** แถว "ค่าใช้จ่ายเดินทางอื่น 6210400999" อีกต่อไป
4. เฉพาะช่องเดือน พ.ค. กรอกได้ เดือนอื่นแสดง "—" · ช่องเดือนของแถวเบี้ยเลี้ยงพิมพ์ไม่ได้เพราะเซิร์ฟเวอร์คำนวณให้ · ให้จดข้อความ tooltip ที่เห็นจริงลงช่อง Actual Result (รอบ SIT พบว่าข้อความบน tooltip ไม่ตรงกับที่คาดไว้ และประเด็นนี้ยังไม่ปิด จึงถือเป็นการบันทึกผล ไม่ใช่การตัดสินผ่าน/ไม่ผ่าน)
5. ช่อง "รายละเอียด" ใต้ตารางพิมพ์ได้จริง ไม่ใช่ช่องสีเทาที่พิมพ์ไม่ได้อย่างที่เอกสารรอบ SIT เขียนไว้ · หลังกด "บันทึก &amp; ลงบัญชี" ปิดหน้าต่าง รีเฟรช แล้วเปิดกลับมา ข้อความยังอยู่ครบทุกตัวอักษร · ข้อความยาวไม่เกิน 500 ตัวอักษรบันทึกได้และแสดงกลับมาครบทุกตัวอักษร (ช่องนี้เก็บได้สูงสุด 500 ตัวอักษร ถ้าพิมพ์เกินให้จดสิ่งที่เกิดขึ้นลงช่อง Actual Result แทนการตัดสิน Fail)
6. หลังบันทึก แถวเบี้ยเลี้ยงเดือน พ.ค. แสดงจำนวนเงินที่ระบบคำนวณ พร้อมข้อความ "5 วัน · เฉลี่ยจากเซิร์ฟเวอร์"
7. ตารางหลักมีแถว Pending แยกกันคนละ GL: 6210400020 = 18,000.00 · 6210400030 = 25,000.00 · 6210400010 = ยอดเบี้ยเลี้ยงที่ระบบคำนวณ · ทุกยอดอยู่ในเดือน พ.ค. และพิมพ์แก้ที่ตารางหลักไม่ได้
8. เปิด Trip Manager กลับมาเห็นทริปเดิม 1 ใบ ข้อมูลหัวทริปและยอด 2 แถวที่กรอกเองครบตามที่กรอกไว้
— หมายเหตุสำคัญ —
เคสรวม 1 แถวแต่มี 8 จุดตรวจ ต้องอ่าน Expected Result ให้ครบก่อนทำเครื่องหมาย Pass · เอกสาร sign-off ฉบับเดิม (Spec B และ 01_special_gl_subform_spec.docx) ยังเขียนว่าตาราง B มี 4 แถว รวม "ค่าใช้จ่ายเดินทางอื่น 5210400999 / 6210400999" — ตัดสินแล้วเมื่อ 2026-09-06 ว่าไม่แก้เอกสาร ระบบจริงมี 3 แถวถูกต้องแล้ว อย่าแจ้งเป็น defect · GL 6210400999 ตอนนี้เป็นแถวกรอกยอดตรงในตารางหลัก ทดสอบแยกที่ UAT-16 · การตรวจตัวเลขเบี้ยเลี้ยงด้วยมืออยู่ที่ UAT-25 เคสนี้ยังไม่ต้องคำนวณเอง</t>
        </is>
      </c>
      <c r="N26" s="51" t="inlineStr">
        <is>
          <t>เลือก 10IT013000 + 6210400020 บันทึก → หน้าต่าง 'Travelling Expense — จัดการทริป 10IT013000 · FY2027' เปิด · ฝั่งบัญชี ล็อกที่ 'ฝั่งบริหาร / ขาย · SG&amp;A (6xxx)' (disabled) · กด บันทึก &amp; ลงบัญชี ก่อนเลือกผู้เดินทาง → หน้าต่างยังเปิด การ์ดขึ้น 'กรุณาระบุผู้เดินทาง' · ช่องผู้เดินทางพิมพ์ 'พรทิพย์' → ตัวเลือก 'พรทิพย์ เพิ่มทรัพย์หิรัญ · Supervisor 2 pornthipp@chememan.com' · ช่องปลายทางพิมพ์ 'Sing' → เหลือ Singapore เลือกได้ · ล้างคำค้นเห็นรายการ 29 ประเทศ ไม่มีป้ายชื่อกลุ่ม เริ่มด้วย Thailand ตามด้วย Bangladesh, Cambodia, China, India, Indonesia, Laos, Malaysia… ท้ายรายการ Singapore, South Korea, Switzerland, Taiwan, United Kingdom, United States · เลือกประเทศท้ายรายการ United Kingdom ได้ (จดไว้ให้ admin ยืนยันกลุ่ม) แล้วเปลี่ยนกลับเป็น Singapore · กรอก Project/วัตถุประสงค์/จำนวนวัน 5 เลือกเดือน May · ตาราง 'B — ค่าใช้จ่าย 3 ประเภท' มี 3 แถว: เบี้ยเลี้ยง Per Diem 6210400010 (ไม่มีช่องกรอก ข้อความ 'ระบบจะคำนวณให้หลังกดบันทึก') · ค่าพาหนะเดินทาง 6210400020 · ค่าที่พัก 6210400030 · ไม่มีแถว 6210400999 · เดือนที่ไม่เลือกแสดง — tooltip 'เดือนนี้ไม่ได้เลือกเดินทาง' · ช่อง May ของแถวเบี้ยเลี้ยง tooltip 'คำนวณโดยเซิร์ฟเวอร์ — แก้ไขไม่ได้' · กรอกค่าพาหนะ May 18000 ค่าที่พัก May 25000 รายละเอียด 'ค่าวีซ่าและประกันการเดินทาง' บันทึก &amp; ลงบัญชี → แถวเบี้ยเลี้ยง May 13,200.00 พร้อม '5 วัน · เฉลี่ยจากเซิร์ฟเวอร์' · ตารางหลักแยก 3 แถว: 6210400020 May 18,000.00 · 6210400030 May 25,000.00 · 6210400010 May 13,200.00 ทุกช่องเป็นข้อความ พิมพ์ไม่ได้ · reload แล้วเปิด Trip Manager กลับมา มี 1 ทริป ค่าหัวทริปครบ (Singapore / Data Platform Phase 2 / ประชุมผู้ให้บริการระบบข้อมูล / 5 วัน) ยอด 18,000 / 25,000 และรายละเอียดครบ · ทดสอบข้อความ 490 ตัวอักษร บันทึก ปิด reload เปิดกลับ ได้ครบ 490 ตัวอักษรตรงทุกตัว</t>
        </is>
      </c>
      <c r="O26" s="21" t="inlineStr">
        <is>
          <t>Pass</t>
        </is>
      </c>
      <c r="P26" s="22" t="n"/>
      <c r="Q26" s="22" t="n"/>
      <c r="R26" s="23" t="inlineStr">
        <is>
          <t>Pornthip</t>
        </is>
      </c>
      <c r="S26" s="24" t="n">
        <v>46274</v>
      </c>
      <c r="T26" s="51" t="inlineStr">
        <is>
          <t>[AI pre-run 09/09/2026] ผ่าน Expected ข้อ 1-8 ทุกข้อ · ข้อ 4 tooltip ช่องเบี้ยเลี้ยงที่เห็นจริง = 'คำนวณโดยเซิร์ฟเวอร์ — แก้ไขไม่ได้' (บันทึกผลตามที่เคสสั่ง ไม่ตัดสิน) · ข้อสังเกต: การจัดกลุ่มประเทศมาจาก master ที่ admin ดูแล — Singapore/South Korea/Taiwan อยู่ท้ายรายการ (กลุ่มต่างประเทศอื่น) ขณะที่ Malaysia/Indonesia อยู่กลุ่มอาเซียน ให้ admin ยืนยันว่าตั้งใจ · ยอดเบี้ยเลี้ยง 13,200.00 = 5 วัน × 80 USD × 33 ตรงกับตัวอย่างในเคส UAT-25</t>
        </is>
      </c>
    </row>
    <row r="27" ht="540" customHeight="1">
      <c r="A27" s="18" t="inlineStr">
        <is>
          <t>W3</t>
        </is>
      </c>
      <c r="B27" s="18" t="n">
        <v>24</v>
      </c>
      <c r="C27" s="19" t="n">
        <v>25</v>
      </c>
      <c r="D27" s="20" t="inlineStr">
        <is>
          <t>UAT-25</t>
        </is>
      </c>
      <c r="E27" s="20" t="inlineStr">
        <is>
          <t>Special GL Subform</t>
        </is>
      </c>
      <c r="F27" s="20" t="inlineStr">
        <is>
          <t>Data &amp; Analytic</t>
        </is>
      </c>
      <c r="G27" s="18" t="n"/>
      <c r="H27" s="20" t="inlineStr">
        <is>
          <t>ตรวจยอดเบี้ยเลี้ยงด้วยมือ: สร้างทริปต่างประเทศ 1 ใบและทริปในประเทศ 1 ใบ แล้วเทียบยอดที่ระบบคำนวณกับการคำนวณด้วยเครื่องคิดเลข</t>
        </is>
      </c>
      <c r="I27" s="19" t="inlineStr">
        <is>
          <t>High</t>
        </is>
      </c>
      <c r="J27" s="20" t="inlineStr">
        <is>
          <t>ล็อกอินเข้าระบบด้วย pornthipp@chememan.com · เลือกฝ่าย "Data &amp; Analytic" · เลือกปี "Year 2026" (= ปีงบประมาณ 2027) · สถานะของฝ่ายต้องยังไม่ถูกส่งอนุมัติ (chip แสดง `Draft — not submitted` หรือ `Rejected`) · ทำ UAT-24 เสร็จแล้ว (รู้วิธีสร้างทริป) · ก่อนเริ่ม ต้องขอตัวเลข 2 ตัวจากผู้ดูแลระบบ (นิภาพร / วราพร / Jakkaritw) ไว้ก่อน คือ อัตราเบี้ยเลี้ยงต่อวันตามตำแหน่งของผู้เดินทาง (แยกตามกลุ่มประเทศ) และอัตราแลกเปลี่ยน USD ต่อบาทของปีงบประมาณ 2027 — ทั้งสองตัวเป็นตาราง master ที่ไม่ได้แสดงให้ผู้กรอกงบเห็นบนหน้าจอ</t>
        </is>
      </c>
      <c r="K27" s="20" t="inlineStr">
        <is>
          <t>1. เปิด Trip Manager จากแถว GL เดินทางของ Cost Center 10IT013000 กด "+ เพิ่มทริป" แล้วกรอกทริป A (ต่างประเทศ) ตาม Test Data จากนั้นกด "บันทึก &amp; ลงบัญชี"
2. จดยอดเบี้ยเลี้ยงที่ระบบคำนวณให้ (แถว "เบี้ยเลี้ยง Per Diem" GL 6210400010) ลงช่อง Actual Result เป็นตัวเลขที่ 1
3. คำนวณด้วยเครื่องคิดเลข: จำนวนวัน × อัตราเบี้ยเลี้ยงต่อวันตามตำแหน่ง (สกุล USD สำหรับปลายทางต่างประเทศ) × อัตราแลกเปลี่ยน แล้วจดผลลัพธ์ลงช่อง Actual Result เป็นตัวเลขที่ 2
4. กด "+ เพิ่มทริป" อีกใบ กรอกทริป B (ในประเทศ) ตาม Test Data · ที่ช่องปลายทาง ให้เปิดรายการแล้วเลือก "รายการในประเทศที่ dropdown มีให้จริง" (กลุ่มในประเทศเรียงขึ้นก่อนเสมอ จึงอยู่บนสุดของรายการ) — **จดชื่อปลายทางที่เลือกลงช่อง Actual Result ให้ตรงทุกตัวอักษร** เพราะต้องใช้ชื่อนี้ไปขออัตราเบี้ยเลี้ยงที่ตรงกันจากผู้ดูแลระบบ แล้วกด "บันทึก &amp; ลงบัญชี"
5. จดยอดเบี้ยเลี้ยงของทริป B ที่ระบบคำนวณ แล้วคำนวณด้วยมือแบบเดียวกัน แต่ทริปในประเทศเป็นสกุลบาทจึงไม่ต้องคูณอัตราแลกเปลี่ยน · จดทั้งสองตัวเลขลงช่อง Actual Result
6. เทียบตัวเลขทั้งสองฝั่งของแต่ละทริป และเทียบกับยอดที่ขึ้นในตารางหลักแถว 6210400010 ของ Cost Center นั้น</t>
        </is>
      </c>
      <c r="L27" s="20" t="inlineStr">
        <is>
          <t>ทริป A (ต่างประเทศ): ผู้เดินทาง = พรทิพย์ เพิ่มทรัพย์หิรัญ · ปลายทาง = Singapore · Project = Data Platform Phase 2 · วัตถุประสงค์ = ประชุมผู้ให้บริการระบบข้อมูล · จำนวนวัน = 5 · เดือนที่เดินทาง = เม.ย.
ทริป B (ในประเทศ): ผู้เดินทาง = พรทิพย์ เพิ่มทรัพย์หิรัญ · ปลายทาง = ปลายทางในประเทศตามที่ dropdown มีให้จริง — เอกสารนี้ไม่ระบุชื่อตายตัว เพราะรายชื่อประเทศมาจากตาราง master ที่ผู้ดูแลระบบเป็นเจ้าของ และยังยืนยันตัวสะกดจริงบนระบบไม่ได้ ณ วันเขียนเอกสาร · ให้เปิดรายการแล้วเลือกรายการในประเทศที่มีจริง (อยู่บนสุดของรายการ) แล้วจดชื่อที่เลือกไว้ · Project = Data Platform Phase 2 · วัตถุประสงค์ = ประชุมทีมงานที่โรงงาน · จำนวนวัน = 3 · เดือนที่เดินทาง = มิ.ย.
หมายเหตุการเลือกเดือน: ทริปของ UAT-24 อยู่เดือน พ.ค. อยู่แล้ว เคสนี้จึงเลือก เม.ย. และ มิ.ย. เพื่อให้แต่ละเดือนมีทริปเดียว จะได้เทียบตัวเลขตรง ๆ ได้โดยไม่ต้องหักยอดของทริปอื่นออก
ตัวอย่างวิธีคิดจากข้อมูลจริงที่เคยตรวจไว้แล้ว: 1 วัน × 80 USD × อัตราแลกเปลี่ยน 33 = 2,640.00 บาท</t>
        </is>
      </c>
      <c r="M27" s="20" t="inlineStr">
        <is>
          <t>1. ทริปต่างประเทศ: ยอดเบี้ยเลี้ยงที่ระบบคำนวณ ต้องเท่ากับ จำนวนวัน × อัตราต่อวันตามตำแหน่ง (USD) × อัตราแลกเปลี่ยน ที่คำนวณด้วยมือ ตรงกันทุกสตางค์
2. ทริปในประเทศ: ยอดเบี้ยเลี้ยงที่ระบบคำนวณ ต้องเท่ากับ จำนวนวัน × อัตราต่อวันตามตำแหน่ง (สกุลบาท) โดยไม่มีการคูณอัตราแลกเปลี่ยน · ต้องจดชื่อปลายทางในประเทศที่เลือกจริงไว้ด้วย เพราะอัตราเบี้ยเลี้ยงผูกกับกลุ่มประเทศของปลายทางนั้น ถ้าไม่จดชื่อไว้ จะตรวจตัวเลขย้อนหลังไม่ได้
3. ยอดเบี้ยเลี้ยงที่ขึ้นบนตารางหลักแถว 6210400010 อยู่ในเดือนที่เลือกเท่านั้น และเท่ากับยอดในฟอร์มทริป · ข้อควรระวังในการอ่านตัวเลข: ช่องในตารางหลักคือผลรวมของทุกทริปที่อยู่เดือนเดียวกัน ถ้าเดือนนั้นมีทริปใบอื่นด้วยต้องเทียบเป็นผลรวม — เคสนี้จึงกำหนดให้ทริป A อยู่เดือน เม.ย. และทริป B อยู่เดือน มิ.ย. ซึ่งยังไม่มีทริปอื่น จึงเทียบตัวเลขตรง ๆ ได้
4. ถ้าปีงบประมาณนั้นไม่มีอัตราเบี้ยเลี้ยงหรืออัตราแลกเปลี่ยนใน master ระบบต้องขึ้นข้อความสีแดงในการ์ดทริป ขึ้นต้นว่า "ไม่สามารถคำนวณเบี้ยเลี้ยงได้ — " แล้วตามด้วยเหตุผลที่เซิร์ฟเวอร์ส่งกลับมา (ถ้าเซิร์ฟเวอร์ไม่ส่งเหตุผลมา จะเห็นข้อความสำรองว่า "ไม่พบอัตราเบี้ยเลี้ยงหรืออัตราแลกเปลี่ยนสำหรับปีนี้") ไม่ใช่ปล่อยว่างหรือแสดง 0 เฉย ๆ · ให้จดข้อความจริงที่เห็นลง Actual Result
5. ต้องจดตัวเลขทั้งสองฝั่ง (ยอดที่ระบบคำนวณ และยอดที่คำนวณด้วยมือ) ของทั้ง 2 ทริปลงช่อง Actual Result — การทำเครื่องหมาย Pass อย่างเดียวโดยไม่มีตัวเลข ถือว่าเคสนี้ยังไม่เสร็จ
— หมายเหตุสำคัญ —
นี่คือยอดเงินที่ระบบคำนวณเองทั้งก้อน และรอบ SIT ไม่เคยตรวจตัวเลขจริงเลย (เคสเดิมเขียนแค่ว่า "ยอดเบี้ยเลี้ยงที่ระบบคำนวณ" โดยไม่ระบุจำนวนเงิน) · อัตราเบี้ยเลี้ยงขึ้นกับตำแหน่งของผู้เดินทางและกลุ่มประเทศของปลายทาง (ในประเทศ / ต่างประเทศ / ต่างประเทศ-อื่นๆ) ทั้งสองอย่างเป็นตาราง master ที่ผู้ดูแลระบบเป็นเจ้าของ ถ้าตัวเลขไม่ตรงให้ตรวจ master ก่อนแจ้งเป็น defect · ทำไมเคสนี้ไม่ระบุชื่อปลายทางในประเทศตายตัว: ชื่อประเทศทุกชื่อในช่องปลายทางมาจากตาราง master ของผู้ดูแลระบบ (dbo.country_group) ตอนเขียนเอกสารนี้เปิดฐานข้อมูลจริงเพื่อยืนยันตัวสะกดไม่ได้ (เซิร์ฟเวอร์ไม่ตอบ) จึงให้ผู้ทดสอบเลือกจากรายการจริงแล้วจดชื่อไว้ วิธีเดียวกับที่ UAT-24 ให้จดชื่อประเทศที่เลือก · ที่มาของเคส: ช่องว่าง §F ของรายงานการตรวจความครอบคลุมรอบ SIT</t>
        </is>
      </c>
      <c r="N27" s="51" t="inlineStr">
        <is>
          <t>ทริป A (ต่างประเทศ): พรทิพย์ เพิ่มทรัพย์หิรัญ (ตำแหน่ง Supervisor 2) · Singapore · 5 วัน · เม.ย. → ระบบคำนวณเบี้ยเลี้ยง = 13,200.00 (ตัวเลขที่ 1) · คำนวณด้วยมือจาก master: Singapore อยู่กลุ่ม 'other' → อัตรา Supervisor 2 rate_other = 80 USD/วัน · อัตราแลกเปลี่ยนปี 2027 = 33.0000 → 5 × 80 × 33 = 13,200.00 (ตัวเลขที่ 2) ตรงกันทุกสตางค์ · ทริป B (ในประเทศ): ปลายทาง 'Thailand' (รายการแรกใน dropdown, กลุ่ม domestic) · 3 วัน · มิ.ย. → ระบบคำนวณ = 750.00 · คำนวณด้วยมือ: rate_domestic Supervisor 2 = 250 บาท/วัน × 3 = 750.00 ไม่คูณอัตราแลกเปลี่ยน ตรงกัน · ตารางหลักแถว 6210400010: เม.ย. 13,200.00 (ทริป A) · พ.ค. 13,200.00 (ทริปของ UAT-24) · มิ.ย. 750.00 (ทริป B) · รวมปี 27,150.00 = ผลรวมถูกต้อง · ไม่พบข้อความแดง 'ไม่สามารถคำนวณเบี้ยเลี้ยงได้' เพราะ master ครบ</t>
        </is>
      </c>
      <c r="O27" s="21" t="inlineStr">
        <is>
          <t>Pass</t>
        </is>
      </c>
      <c r="P27" s="22" t="n"/>
      <c r="Q27" s="22" t="n"/>
      <c r="R27" s="23" t="inlineStr">
        <is>
          <t>Pornthip</t>
        </is>
      </c>
      <c r="S27" s="24" t="n">
        <v>46274</v>
      </c>
      <c r="T27" s="51" t="inlineStr">
        <is>
          <t>[AI pre-run 09/09/2026] ผ่าน Expected ข้อ 1-5 · อัตราอ่านจาก dbo.per_diem_rate (Supervisor 2: domestic 250 / asian 70 USD / other 80 USD), dbo.country_group (Singapore=other, Thailand=domestic), dbo.master_currency_rate (2027 = 33.0000) ณ 2026-09-08 06:31 · ข้อสังเกตให้ admin ยืนยัน: Singapore ถูกจัดกลุ่ม 'other' ไม่ใช่ 'asian'</t>
        </is>
      </c>
    </row>
    <row r="28" ht="456" customHeight="1">
      <c r="A28" s="18" t="inlineStr">
        <is>
          <t>W3</t>
        </is>
      </c>
      <c r="B28" s="18" t="n">
        <v>25</v>
      </c>
      <c r="C28" s="19" t="n">
        <v>26</v>
      </c>
      <c r="D28" s="20" t="inlineStr">
        <is>
          <t>UAT-26</t>
        </is>
      </c>
      <c r="E28" s="20" t="inlineStr">
        <is>
          <t>Special GL Subform</t>
        </is>
      </c>
      <c r="F28" s="20" t="inlineStr">
        <is>
          <t>Data &amp; Analytic</t>
        </is>
      </c>
      <c r="G28" s="18" t="n"/>
      <c r="H28" s="20" t="inlineStr">
        <is>
          <t>ทริปข้ามหลายเดือน: เบี้ยเลี้ยงกระจายตามเดือนที่เลือก แก้จำนวนวันแล้วคำนวณใหม่ และลบทริปได้พร้อมกล่องยืนยัน</t>
        </is>
      </c>
      <c r="I28" s="19" t="inlineStr">
        <is>
          <t>Medium</t>
        </is>
      </c>
      <c r="J28" s="20" t="inlineStr">
        <is>
          <t>ล็อกอินเข้าระบบด้วย pornthipp@chememan.com · เลือกฝ่าย "Data &amp; Analytic" · เลือกปี "Year 2026" (= ปีงบประมาณ 2027) · สถานะของฝ่ายต้องยังไม่ถูกส่งอนุมัติ (chip แสดง `Draft — not submitted` หรือ `Rejected`) · ทำ UAT-24 และ UAT-25 เสร็จแล้ว · ใช้ Cost Center 10IT013000</t>
        </is>
      </c>
      <c r="K28" s="20" t="inlineStr">
        <is>
          <t>1. เปิด Trip Manager จากแถว GL เดินทางของ Cost Center 10IT013000 แล้วกด "+ เพิ่มทริป"
2. กรอกหัวทริปตาม Test Data โดยกดเลือกเดือนที่เดินทาง 2 เดือน คือ ก.ค. และ ส.ค. แล้วกด "บันทึก &amp; ลงบัญชี"
3. จดยอดเบี้ยเลี้ยงของแต่ละเดือน และยอดรวมของทริป ลงช่อง Actual Result
4. แก้ช่องจำนวนวัน (ป้ายบนจอเขียนว่า "TOTAL DAYS / YEAR") จาก 4 เป็น 8 แล้วกด "บันทึก &amp; ลงบัญชี" อีกครั้ง
5. จดยอดเบี้ยเลี้ยงใหม่ของแต่ละเดือน แล้วปิดหน้าต่างไปดูตารางหลักแถว 6210400010 ว่าขยับตาม
6. เปิด Trip Manager กลับมา กดปุ่มลบทริปใบนี้ อ่านข้อความในกล่องยืนยันก่อน แล้วกดยืนยัน
7. ปิดหน้าต่างแล้วดูตารางหลักอีกครั้ง ทั้งแถวของทริปใบที่ลบ และแถวอื่น ๆ ที่ไม่เกี่ยวข้อง</t>
        </is>
      </c>
      <c r="L28" s="20" t="inlineStr">
        <is>
          <t>ผู้เดินทาง = พรทิพย์ เพิ่มทรัพย์หิรัญ · ปลายทาง = ปลายทางในประเทศตัวเดียวกับที่เลือกไว้ในทริป B ของ UAT-25 (เลือกจากรายการจริงใน dropdown ห้ามยึดชื่อใดชื่อหนึ่งไว้ล่วงหน้า) · Project = Data Platform Phase 2 · วัตถุประสงค์ = ตรวจงานที่โรงงาน 2 รอบ · จำนวนวัน = 4 (แล้วแก้เป็น 8 ในขั้นตอนที่ 4) · เดือนที่เดินทาง = ก.ค. และ ส.ค.
ค่าพาหนะเดินทาง ก.ค. = 6000 · ค่าที่พัก ส.ค. = 9000</t>
        </is>
      </c>
      <c r="M28" s="20" t="inlineStr">
        <is>
          <t>1. เลือกเดือนที่เดินทางได้มากกว่า 1 เดือน และยอดเบี้ยเลี้ยงถูกเฉลี่ยกระจายไปยังเดือนที่เลือกทั้งหมด ไม่กองอยู่เดือนเดียว · ใต้ยอดมีข้อความกำกับจำนวนวัน เช่น "4 วัน · เฉลี่ยจากเซิร์ฟเวอร์" · ข้อควรระวังเวลาเทียบตัวเลข: ยอดของแต่ละเดือนอาจไม่เท่ากันเป๊ะในระดับสตางค์ เพราะระบบให้เดือนสุดท้ายที่เลือกไว้รับเศษที่เหลือทั้งหมด ต่างกันไม่เกินหลักสตางค์ ถือว่าถูกต้อง ไม่ใช่ข้อผิดพลาด
2. ผลรวมเบี้ยเลี้ยงของทุกเดือนที่กระจายไป เท่ากับยอดรวมเบี้ยเลี้ยงทั้งทริป คือ จำนวนวัน × อัตราต่อวันตามตำแหน่ง (ทริปในประเทศไม่คูณอัตราแลกเปลี่ยน)
3. แก้จำนวนวันจาก 4 เป็น 8 แล้วบันทึก ระบบคำนวณเบี้ยเลี้ยงใหม่ทันทีตามจำนวนวันใหม่ (เท่ากับ 2 เท่าของยอดเดิม เมื่ออัตราและปลายทางไม่เปลี่ยน) และตารางหลักแถว 6210400010 ขยับตามในเดือนเดียวกัน
4. กดลบทริปแล้วมีกล่องยืนยันภาษาไทยขึ้นก่อนลบจริง ข้อความเต็มคือ "ลบทริปนี้ทั้งหมด? รายการเบี้ยเลี้ยง/ค่าเดินทางทั้งหมดของทริปจะถูกลบ" และกดยกเลิกได้
5. หลังยืนยันลบ ทริปหายจากรายการ และยอดของทริปใบนั้น (เบี้ยเลี้ยง / ค่าพาหนะเดินทาง / ค่าที่พัก) หายจากตารางหลัก
6. ยอดของทริปใบอื่น และยอดที่กรอกมือใน GL อื่นของ Cost Center เดียวกัน ต้องไม่เปลี่ยนและไม่กลายเป็น 0
— หมายเหตุสำคัญ —
การลบทริปย้อนกลับไม่ได้ ฐานข้อมูลเป็นของจริง (production) และมีทริปเดิมของผู้ใช้คนอื่นอยู่ก่อนแล้ว ให้ลบเฉพาะทริปที่สร้างขึ้นเองในเคสนี้เท่านั้น · ห้ามลบทริปที่สร้างไว้ใน UAT-24 และ UAT-25 เพราะ UAT-53 (เงินต้องไม่หายเงียบ) ต้องใช้ทริปของระลอก W3 ที่ยังเหลืออยู่อย่างน้อย 1 ใบไปทดสอบการลบ · **หยุด — กลับไปทำ UAT-52 ข้อ 2 (กรอกจำนวนวันเดินทางติดลบ) ตอนนี้ ก่อนเริ่ม UAT-32** เพราะหลังกด `Submit` ในเคส UAT-32 ระบบจะล็อกการแก้ไขทั้งฝ่าย Trip Manager จะเปิดได้แบบอ่านอย่างเดียวและไม่มีปุ่ม `บันทึก &amp; ลงบัญชี` ให้กดอีกเลยตลอดรอบ — ตอนนี้คือช่วงเดียวที่ทดสอบข้อนั้นได้ · ที่มาของเคส: ช่องว่าง §F ของรายงานการตรวจความครอบคลุมรอบ SIT</t>
        </is>
      </c>
      <c r="N28" s="51" t="inlineStr">
        <is>
          <t>ทริปใหม่: พรทิพย์ · Thailand (ตัวเดียวกับทริป B ของ UAT-25) · Data Platform Phase 2 · ตรวจงานที่โรงงาน 2 รอบ · 4 วัน · เลือก 2 เดือน ก.ค.+ส.ค. · ค่าพาหนะ ก.ค. 6000 · ค่าที่พัก ส.ค. 9000 · บันทึก &amp; ลงบัญชี → เบี้ยเลี้ยง ก.ค. 500.00 / ส.ค. 500.00 / รวมทริป 1,000.00 พร้อม '4 วัน · เฉลี่ยจากเซิร์ฟเวอร์' (4 × 250 = 1,000 กระจาย 2 เดือนเท่ากัน ไม่มีเศษ) · แก้ TOTAL DAYS / YEAR จาก 4 เป็น 8 บันทึก → ก.ค. 1,000.00 / ส.ค. 1,000.00 / รวม 2,000.00 (2 เท่าพอดี) · ตารางหลัก 6210400010 ก.ค. 1,000.00 ส.ค. 1,000.00 รวมปี 29,150.00 · 6210400020 ก.ค. 6,000.00 · 6210400030 ส.ค. 9,000.00 · เปิดกลับมา กดลบทริป → กล่องยืนยัน 'ลบทริปนี้ทั้งหมด? รายการเบี้ยเลี้ยง/ค่าเดินทางทั้งหมดของทริปจะถูกลบ' · กดยกเลิก → ทริปยังอยู่ (4 ใบ) · กดลบอีกครั้งแล้วยืนยัน → เหลือ 3 ใบ ลบทันทีไม่ต้องกดบันทึกซ้ำ · ตารางหลัก: เบี้ยเลี้ยง ก.ค./ส.ค. เป็น — รวมปีกลับเป็น 27,150.00 · ค่าพาหนะ ก.ค. — · ค่าที่พัก ส.ค. — · ทริป เม.ย./พ.ค./มิ.ย. ยังครบ (13,200 / 13,200 / 750) · GL อื่นไม่เปลี่ยน: 6211100110 135,500 · 6211900030 38,000 · 6210700020 101,000 · 6211200060 32,000 · 6211200050 36,000</t>
        </is>
      </c>
      <c r="O28" s="21" t="inlineStr">
        <is>
          <t>Pass</t>
        </is>
      </c>
      <c r="P28" s="22" t="n"/>
      <c r="Q28" s="22" t="n"/>
      <c r="R28" s="23" t="inlineStr">
        <is>
          <t>Pornthip</t>
        </is>
      </c>
      <c r="S28" s="24" t="n">
        <v>46274</v>
      </c>
      <c r="T28" s="51" t="inlineStr">
        <is>
          <t>[AI pre-run 09/09/2026] ผ่าน Expected ข้อ 1-6 ทุกข้อ · การกระจายรายเดือนไม่มีเศษสตางค์ในกรณีนี้ (1,000/2 และ 2,000/2 ลงตัว) จึงไม่ได้ทดสอบกรณีเดือนสุดท้ายรับเศษ</t>
        </is>
      </c>
    </row>
    <row r="29" ht="620" customHeight="1">
      <c r="A29" s="18" t="inlineStr">
        <is>
          <t>W4</t>
        </is>
      </c>
      <c r="B29" s="18" t="n">
        <v>26</v>
      </c>
      <c r="C29" s="19" t="n">
        <v>27</v>
      </c>
      <c r="D29" s="20" t="inlineStr">
        <is>
          <t>UAT-27</t>
        </is>
      </c>
      <c r="E29" s="20" t="inlineStr">
        <is>
          <t>Attachments</t>
        </is>
      </c>
      <c r="F29" s="20" t="inlineStr">
        <is>
          <t>Data &amp; Analytic</t>
        </is>
      </c>
      <c r="G29" s="18" t="n"/>
      <c r="H29" s="20" t="inlineStr">
        <is>
          <t>Filler เปิดกล่อง "แนบไฟล์" ของฝ่ายและปีที่เลือก อัปโหลดไฟล์ .pdf และ .xlsx ได้สำเร็จ และรายการไฟล์แสดงชื่อ ขนาด และผู้อัปโหลดถูกต้อง</t>
        </is>
      </c>
      <c r="I29" s="19" t="inlineStr">
        <is>
          <t>High</t>
        </is>
      </c>
      <c r="J29" s="20" t="inlineStr">
        <is>
          <t>ล็อกอินด้วย pornthipp@chememan.com บนระบบจริง (production) · เลือกฝ่าย "Data &amp; Analytic" · เลือกปี "Year 2026" (= ปีงบประมาณ 2027) · Pornthip เป็นผู้กรอก (Filler) ของฝ่ายนี้ จึงต้องเห็นพื้นที่อัปโหลด · ต้องเลือกฝ่ายก่อน ปุ่ม "แนบไฟล์" จึงจะปรากฏบนแถบเครื่องมือ · โฟลเดอร์ปลายทาง "เอกสาร ฝ่าย/Data &amp; Analytic/2027/" ต้องถูกสร้างไว้บน SharePoint ก่อนแล้ว ระบบไม่สร้างโฟลเดอร์ให้เอง ถ้ายังไม่มีจะเปิดกล่องไม่ขึ้นและทั้งระลอก W4 จะทำต่อไม่ได้ · เตรียมไฟล์ทดสอบไว้บนเครื่อง 2 ไฟล์ตาม Test Data · เข้าใจก่อนเริ่มว่าไฟล์จะถูกเก็บลง SharePoint library จริงของบริษัท ไม่ใช่ที่เก็บชั่วคราว</t>
        </is>
      </c>
      <c r="K29" s="20" t="inlineStr">
        <is>
          <t>1. กดปุ่ม "แนบไฟล์" บนแถบเครื่องมือเหนือตารางงบ
2. อ่านหัวกล่องและบรรทัดใต้หัวกล่อง (ชื่อฝ่าย · ปีงบประมาณ · เส้นทางโฟลเดอร์) แล้วจดข้อความที่เห็นลงช่อง Actual Result
3. ดูรายการไฟล์เดิมในโฟลเดอร์ และจดตัวเลข "ไฟล์ในโฟลเดอร์:" ที่ท้ายกล่องไว้เป็นค่าตั้งต้น
4. คลิกพื้นที่ "คลิกเพื่อเลือกไฟล์" แล้วเลือกไฟล์ .pdf ตาม Test Data
5. รอจนข้อความ "กำลังอัปโหลด…" หายไป แล้วตรวจว่าไฟล์ขึ้นในตารางรายการหรือไม่
6. ทำซ้ำข้อ 4-5 กับไฟล์ .xlsx ที่ตั้งชื่อเป็นภาษาไทย แล้วคัดลอกชื่อไฟล์ที่ปรากฏในตารางมาจดทีละตัวอักษร เทียบกับชื่อไฟล์ต้นฉบับบนเครื่องว่าตรงกันทุกตัวหรือไม่
7. เทียบขนาดไฟล์ในคอลัมน์ "ขนาด" กับขนาดไฟล์จริงบนเครื่อง แล้วจดชื่อที่ปรากฏในคอลัมน์ "อัปโหลดโดย" ลงช่อง Actual Result ตามที่เห็นจริง (ยังไม่ต้องตัดสินว่าถูกหรือผิด อ่านเกณฑ์ในช่อง Expected Result ก่อน)
8. นับจำนวนคอลัมน์ในตารางรายการไฟล์ แล้วจดว่ามีคอลัมน์วันที่อัปโหลดหรือไม่
9. กดปุ่ม "ปิด" แล้วกดปุ่ม "แนบไฟล์" เปิดกล่องกลับเข้ามาใหม่ ตรวจว่าไฟล์ทั้ง 2 ยังอยู่ครบ</t>
        </is>
      </c>
      <c r="L29" s="20" t="inlineStr">
        <is>
          <t>ฝ่าย = Data &amp; Analytic · ปีที่จอแสดง = Year 2026 · ปีงบประมาณจริง = 2027
ไฟล์ที่ 1 (นามสกุลอังกฤษ): UAT-27-budget-support.pdf ขนาดไม่เกิน 10 MB
ไฟล์ที่ 2 (ชื่อภาษาไทย): เอกสารประกอบงบ UAT.xlsx ขนาดไม่เกิน 10 MB
นามสกุลที่ระบบรับ: .jpeg, .jpg, .pdf, .png, .xls, .xlsx</t>
        </is>
      </c>
      <c r="M29" s="20" t="inlineStr">
        <is>
          <t>กล่อง "ไฟล์แนบ ฝ่าย Data &amp; Analytic" เปิดขึ้น · บรรทัดใต้หัวกล่องแสดง "ปีงบประมาณ 2027 · เอกสาร ฝ่าย/Data &amp; Analytic/2027/" ตรงกับฝ่ายและปีที่เลือก โดยเลขปีในกล่องคือ 2027 ทั้งที่จอแสดง Year 2026 ซึ่งถูกต้องตามการออกแบบ · พื้นที่เลือกไฟล์แสดงข้อความ "คลิกเพื่อเลือกไฟล์" และบรรทัดกำกับ "pdf · xlsx · xls · png · jpg — สูงสุด 10 MB" · ถ้ายังไม่มีไฟล์ในโฟลเดอร์ ตารางแสดงข้อความ "ยังไม่มีไฟล์ในโฟลเดอร์นี้ — เลือกไฟล์เพื่อแนบ" · ตารางรายการมีหัวคอลัมน์ที่มีชื่อ 3 คอลัมน์ คือ "ไฟล์" / "ขนาด" / "อัปโหลดโดย" และมีคอลัมน์สุดท้ายอีก 1 คอลัมน์ที่ไม่มีชื่อหัวคอลัมน์ ใช้วางปุ่ม "เปิด/ดาวน์โหลด" และ "ลบ" · อัปโหลดสำเร็จทั้ง .pdf และ .xlsx ไม่มีแถบข้อความสีแดงแจ้งข้อผิดพลาด · แต่ละแถวแสดงชื่อไฟล์ถูกต้อง และขนาดใกล้เคียงกับขนาดไฟล์จริงบนเครื่อง · ชื่อไฟล์ภาษาไทยต้องแสดงเหมือนต้นฉบับทุกตัวอักษร ระบบเปลี่ยนชื่อไฟล์เฉพาะอักขระต้องห้ามของ Windows ( \ / : * ? " &lt; &gt; | ) ให้เป็นขีด - และตัดจุดกับช่องว่างหัวท้ายเท่านั้น ภาษาไทยไม่ถูกแปลงและต้องไม่หาย — ถ้าตัวอักษรไทยเพี้ยนเป็นเครื่องหมายแปลก ๆ หรือหายไป ให้ถือเป็นข้อผิดพลาดจริงและเปิด Defect · ช่อง "อัปโหลดโดย" จะไม่ใช่ชื่อของผู้ทดสอบ เพราะระบบเขียนไฟล์ลง SharePoint ด้วยบัญชีของแอปเองทุกครั้ง ไม่ได้เขียนด้วยบัญชีของคนที่กดอัปโหลด — สิ่งที่เห็นจะเป็นชื่อบัญชีบริการของระบบ หรืออาจเป็นขีด "—" ถ้า SharePoint ไม่ส่งชื่อผู้สร้างไฟล์กลับมา (ยังไม่เคยยืนยันบนระบบจริงว่าเป็นแบบไหน) — ทั้งสองแบบถือว่าเป็นไปตามการออกแบบ ให้จดสิ่งที่เห็นลง Actual Result และห้ามตัดสินเป็น Fail เพราะชื่อไม่ใช่ชื่อตัวเอง · ตัวเลข "ไฟล์ในโฟลเดอร์:" ท้ายกล่องเพิ่มขึ้น 2 จากค่าตั้งต้นที่จดไว้ · ปิดแล้วเปิดกล่องกลับเข้ามาใหม่ ไฟล์ทั้ง 2 ยังอยู่ครบ · ข้อสังเกตที่ต้องจดแต่ไม่ใช้ตัดสินผ่าน/ไม่ผ่าน: ตารางรายการมีคอลัมน์ที่มีชื่อเพียง 3 คอลัมน์ (ไฟล์ / ขนาด / อัปโหลดโดย) บวกคอลัมน์ปุ่มที่ไม่มีชื่อหัวคอลัมน์อีก 1 คอลัมน์ หน้าจอรุ่นนี้ยังไม่มีคอลัมน์วันที่อัปโหลด ทั้งที่แผนการทดสอบรอบนี้ระบุให้ตรวจวันที่ด้วย ให้บันทึกเป็นช่องว่างของระบบลงช่อง Remarks แล้วให้ทีมพัฒนาตัดสินว่าจะเพิ่มหรือไม่
— หมายเหตุสำคัญ —
โมดูล Attachments ไม่เคยถูกทดสอบใน SIT เลยแม้แต่เคสเดียว ทั้งระลอก W4 จึงเป็นของใหม่ทั้งหมด · ไฟล์ที่อัปโหลดขึ้นไปอยู่บน SharePoint library จริง ในโฟลเดอร์ "เอกสาร ฝ่าย/&lt;ชื่อฝ่าย&gt;/&lt;ปีงบประมาณ&gt;/" ซึ่งเป็นที่เดียวกับที่เก็บเอกสารงานจริง ห้ามอัปโหลดไฟล์ที่มีข้อมูลส่วนบุคคลหรือข้อมูลลับ ใช้ไฟล์ทดสอบเท่านั้น · ถ้าเปิดกล่องแล้วขึ้นแถบสีแดง ให้อ่านข้อความให้จบก่อน — กรณีที่โฟลเดอร์ยังไม่ถูกสร้าง ข้อความจะขึ้นต้นเป็นภาษาไทยว่า "เซิร์ฟเวอร์ขัดข้อง กรุณาลองใหม่อีกครั้ง" แล้วตามด้วยเหตุผลจริงเป็นภาษาอังกฤษในวงเล็บ ประมาณว่า "(the folder '…' does not exist yet — ask the admin to create it …)" ซึ่งแปลว่าโฟลเดอร์ยังไม่มี ไม่ใช่เซิร์ฟเวอร์ล่ม · ในกรณีนั้นให้ทำเครื่องหมาย Status = Blocked แล้วขอให้ผู้ดูแลสร้างโฟลเดอร์ "เอกสาร ฝ่าย/Data &amp; Analytic/2027/" ก่อน ห้ามทำเครื่องหมาย Fail และหยุดทั้งระลอก W4 ไว้ก่อน เพราะทุกเคสในระลอกนี้ต้องใช้โฟลเดอร์เดียวกัน · เคส UAT-29 และ UAT-30 ใช้ไฟล์ 2 ไฟล์นี้ต่อ จึงต้องทำเคสนี้ก่อน</t>
        </is>
      </c>
      <c r="N29" s="51" t="inlineStr">
        <is>
          <t>กดแนบไฟล์ → กล่อง 'ไฟล์แนบ ฝ่าย Data &amp; Analytic' บรรทัดใต้หัว 'ปีงบประมาณ 2027 · เอกสาร ฝ่าย/Data &amp; Analytic/2027/' · พื้นที่เลือกไฟล์ 'คลิกเพื่อเลือกไฟล์ — เก็บเข้าโฟลเดอร์ฝ่าย/ปี ด้านบน' และ 'pdf · xlsx · xls · png · jpg — สูงสุด 10 MB' · ตัวกรองไฟล์ของ input = .pdf,.xlsx,.xls,.png,.jpg,.jpeg · หัวคอลัมน์ 3 ชื่อ ไฟล์ / ขนาด / อัปโหลดโดย + คอลัมน์ปุ่มไม่มีชื่อ (เปิด/ดาวน์โหลด, ลบ) · ค่าตั้งต้น 'ไฟล์ในโฟลเดอร์: 1' (มีไฟล์เดิม 1 ไฟล์ของผู้ใช้จริง: ChatGPT Image Jul 27, 2026, 03_12_05 PM.png 2.0 MB — ไม่แตะ) · อัปโหลด UAT-27-budget-support.pdf → ขึ้นในตาราง 303 B (ตรงไฟล์จริง 303 B) ไม่มีแถบแดง · อัปโหลด เอกสารประกอบงบ UAT.xlsx → ชื่อไทยแสดงครบทุกตัวอักษร ขนาดแสดง 13.1 KB (ไฟล์ต้นฉบับ 4.7 KB) · อัปโหลดโดย = 'SharePoint App' ทั้งสองไฟล์ (ชื่อบัญชีบริการ ไม่ใช่ชื่อผู้กด ตรงตามการออกแบบ) · ไฟล์ในโฟลเดอร์: 3 · ปิดแล้วเปิดใหม่ ไฟล์ทั้ง 3 ยังอยู่</t>
        </is>
      </c>
      <c r="O29" s="21" t="inlineStr">
        <is>
          <t>Pass</t>
        </is>
      </c>
      <c r="P29" s="22" t="n"/>
      <c r="Q29" s="22" t="n"/>
      <c r="R29" s="23" t="inlineStr">
        <is>
          <t>Pornthip</t>
        </is>
      </c>
      <c r="S29" s="24" t="n">
        <v>46274</v>
      </c>
      <c r="T29" s="51" t="inlineStr">
        <is>
          <t>[AI pre-run 09/09/2026] ผ่านทุกข้อ · ข้อสังเกต: ขนาด .xlsx ที่แสดง (13.1 KB) ใหญ่กว่าไฟล์ต้นฉบับ (4,835 B) ประมาณ 2.7 เท่า — น่าจะเป็น SharePoint ประมวลผล/บันทึกไฟล์ Excel ใหม่ ไม่ใช่แอป (PDF ตรงเป๊ะ 303 B) ให้ทีมยืนยัน · ไฟล์ทดสอบ 2 ไฟล์จะถูกลบใน UAT-30</t>
        </is>
      </c>
    </row>
    <row r="30" ht="492" customHeight="1">
      <c r="A30" s="18" t="inlineStr">
        <is>
          <t>W4</t>
        </is>
      </c>
      <c r="B30" s="18" t="n">
        <v>27</v>
      </c>
      <c r="C30" s="19" t="n">
        <v>28</v>
      </c>
      <c r="D30" s="20" t="inlineStr">
        <is>
          <t>UAT-28</t>
        </is>
      </c>
      <c r="E30" s="20" t="inlineStr">
        <is>
          <t>Attachments</t>
        </is>
      </c>
      <c r="F30" s="20" t="inlineStr">
        <is>
          <t>Data &amp; Analytic</t>
        </is>
      </c>
      <c r="G30" s="18" t="n"/>
      <c r="H30" s="20" t="inlineStr">
        <is>
          <t>อัปโหลดไฟล์นามสกุลที่ไม่อนุญาตและไฟล์ที่ใหญ่เกิน 10 MB แล้วระบบต้องปฏิเสธพร้อมข้อความภาษาไทยที่บอกนามสกุลที่รับได้และเพดานขนาด</t>
        </is>
      </c>
      <c r="I30" s="19" t="inlineStr">
        <is>
          <t>High</t>
        </is>
      </c>
      <c r="J30" s="20" t="inlineStr">
        <is>
          <t>ทำเคส UAT-27 ผ่านแล้ว และยังอยู่ที่ฝ่าย "Data &amp; Analytic" ปี "Year 2026" (= ปีงบประมาณ 2027) · ล็อกอินด้วย pornthipp@chememan.com ซึ่งเป็นผู้กรอก (Filler) ของฝ่ายนี้ · เตรียมไฟล์ทดสอบ 3 ไฟล์ตาม Test Data ไว้บนเครื่องก่อน โดยไฟล์ .pdf ที่ใหญ่เกินต้องมีขนาดเกิน 10 MB จริง (ตรวจขนาดจาก Windows Explorer ก่อน)</t>
        </is>
      </c>
      <c r="K30" s="20" t="inlineStr">
        <is>
          <t>1. กดปุ่ม "แนบไฟล์" แล้วจดตัวเลข "ไฟล์ในโฟลเดอร์:" ท้ายกล่องไว้เป็นค่าตั้งต้น
2. คลิกพื้นที่ "คลิกเพื่อเลือกไฟล์" · ในกล่องเลือกไฟล์ของ Windows ให้เปลี่ยนตัวกรองเป็น "All files (*.*)" ก่อน เพราะระบบตั้งตัวกรองไว้ให้เห็นเฉพาะนามสกุลที่อนุญาต
3. เลือกไฟล์ .docx ตาม Test Data แล้วดูผล จดข้อความที่ระบบแจ้งลง Actual Result แบบคำต่อคำ
4. ทำซ้ำข้อ 2-3 กับไฟล์ .zip
5. ทำซ้ำข้อ 2 แล้วเลือกไฟล์ .pdf ที่ใหญ่กว่า 10 MB จดข้อความที่ระบบแจ้งแบบคำต่อคำ พร้อมตัวเลขขนาดที่ระบบพิมพ์ออกมา
6. เทียบตัวเลขขนาดในข้อความกับขนาดไฟล์จริงบนเครื่อง
7. ตรวจว่าตารางรายการไม่มีไฟล์ทั้ง 3 นี้เพิ่มเข้ามา และตัวเลข "ไฟล์ในโฟลเดอร์:" เท่ากับค่าตั้งต้นที่จดไว้</t>
        </is>
      </c>
      <c r="L30" s="20" t="inlineStr">
        <is>
          <t>ไฟล์ที่ถูกปฏิเสธ 1 (นามสกุลไม่อนุญาต): UAT-28-wrong-type.docx
ไฟล์ที่ถูกปฏิเสธ 2 (นามสกุลไม่อนุญาต): UAT-28-wrong-type.zip
ไฟล์ที่ถูกปฏิเสธ 3 (ใหญ่เกินเพดาน): UAT-28-oversize.pdf ขนาดประมาณ 12 MB (ต้องเกิน 10 MB จริง)
นามสกุลที่ระบบรับ: .jpeg, .jpg, .pdf, .png, .xls, .xlsx · เพดานขนาด: 10 MB</t>
        </is>
      </c>
      <c r="M30" s="20" t="inlineStr">
        <is>
          <t>กล่องเลือกไฟล์ของ Windows ถูกตั้งตัวกรองไว้ที่ ".pdf,.xlsx,.xls,.png,.jpg,.jpeg" ตั้งแต่แรก จึงไม่เห็นไฟล์นามสกุลอื่นจนกว่าจะเปลี่ยนเป็น All files · เมื่อฝืนเลือก .docx ระบบไม่อัปโหลด และขึ้นแถบข้อความสีแดงเหนือพื้นที่เลือกไฟล์ · ข้อความที่ขึ้นจริงเป็นสองท่อน คือข้อความกลางของระบบ แล้วตามด้วยเหตุผลจริงในวงเล็บ — ต้องอ่านได้ว่า "คำขอไม่ถูกต้อง (ไฟล์ชนิด .docx อัปโหลดไม่ได้ — อัปโหลดได้เฉพาะ .jpeg, .jpg, .pdf, .png, .xls, .xlsx)" โดยส่วนในวงเล็บต้องระบุนามสกุลที่ถูกปฏิเสธถูกตัว และไล่นามสกุลที่รับได้ครบทั้ง 6 ชนิด · เมื่อเลือก .zip ได้ข้อความรูปแบบเดียวกัน เปลี่ยนเป็น "...(ไฟล์ชนิด .zip อัปโหลดไม่ได้ — …)" · เมื่อเลือก .pdf ที่ใหญ่เกิน ระบบไม่อัปโหลด และขึ้นข้อความรูปแบบเดียวกัน คือ "คำขอไม่สำเร็จ (HTTP 413) (ไฟล์ใหญ่เกินกำหนด (&lt;ขนาดจริง&gt; MB) — อัปโหลดได้ไม่เกิน 10 MB)" โดยตัวเลขขนาดจริงในวงเล็บชั้นในต้องใกล้เคียงกับขนาดไฟล์บนเครื่อง ไม่ใช่ตัวเลข byte ยาว ๆ · ส่วนที่เป็นเหตุผลจริง (ข้อความในวงเล็บ) ทั้ง 3 กรณีเป็นภาษาไทย บอกได้ว่าผิดตรงไหนและต้องแก้อย่างไร ไม่มี stack trace หรือข้อความภาษาอังกฤษยาว ๆ โผล่ให้ผู้ใช้เห็น · รายการไฟล์ไม่เพิ่มขึ้นเลยทั้ง 3 กรณี และตัวเลข "ไฟล์ในโฟลเดอร์:" เท่ากับค่าตั้งต้น · ถ้าเห็นข้อความอื่นที่ไม่ใช่ 2 รูปแบบข้างต้น (เช่น "เชื่อมต่อเซิร์ฟเวอร์ไม่ได้ กรุณาตรวจสอบอินเทอร์เน็ต") ให้จดคำต่อคำลง Actual Result แล้วแจ้งทีมพัฒนา
— หมายเหตุสำคัญ —
คำนำหน้าว่า "คำขอไม่ถูกต้อง" และ "คำขอไม่สำเร็จ (HTTP 413)" เป็นข้อความกลางที่ระบบเติมให้ทุกข้อผิดพลาด ไม่ใช่ข้อความเฉพาะของการแนบไฟล์ — ในรอบนี้ถือว่ายังผ่าน เพราะเหตุผลจริงตามหลังในวงเล็บครบถ้วน แต่ให้จดลง Remarks ว่าอ่านแล้วสะดุด โดยเฉพาะคำว่า HTTP 413 ที่เป็นศัพท์เทคนิค เพื่อให้ทีมพัฒนาพิจารณาปรับข้อความ (เรื่องคุณภาพข้อความ error โดยรวมมีเคส UAT-52 ดูอยู่แล้ว) · ถ้ากล่องเลือกไฟล์ของ Windows ไม่ยอมให้เลือก .docx หรือ .zip ได้เลยแม้เปลี่ยนเป็น All files แล้ว ให้บันทึกว่าระบบกันไว้ตั้งแต่ชั้นแรก ถือว่าผ่านในส่วนการป้องกัน แต่ให้จดลง Remarks ว่ายังไม่ได้เห็นข้อความปฏิเสธจริง · เพดาน 10 MB นับแบบ 10 × 1024 × 1024 ไบต์ ตัวเลขที่ระบบพิมพ์จึงอาจต่างจากที่ Windows แสดงเล็กน้อย ไม่ถือเป็น defect</t>
        </is>
      </c>
      <c r="N30" s="51" t="inlineStr">
        <is>
          <t>ตัวกรองไฟล์ของช่องเลือก = .pdf,.xlsx,.xls,.png,.jpg,.jpeg · เลือก .docx → ไม่อัปโหลด แถบแดงเหนือพื้นที่เลือกไฟล์: 'คำขอไม่ถูกต้อง (ไฟล์ชนิด .docx อัปโหลดไม่ได้ — อัปโหลดได้เฉพาะ .jpeg, .jpg, .pdf, .png, .xls, .xlsx)' · เลือก .zip → 'คำขอไม่ถูกต้อง (ไฟล์ชนิด .zip อัปโหลดไม่ได้ — อัปโหลดได้เฉพาะ .jpeg, .jpg, .pdf, .png, .xls, .xlsx)' · เลือก .pdf ขนาด 11.0 MB → 'คำขอไม่สำเร็จ (HTTP 413) (ไฟล์ใหญ่เกินกำหนด (11 MB) — อัปโหลดได้ไม่เกิน 10 MB)' · ทั้ง 3 กรณี รายการไฟล์ไม่เพิ่ม 'ไฟล์ในโฟลเดอร์: 3' เท่าค่าตั้งต้น · ข้อความเป็นไทย ระบุนามสกุลที่ถูกปฏิเสธและรายการที่รับได้ครบ 6 ชนิด ไม่มี stack trace</t>
        </is>
      </c>
      <c r="O30" s="21" t="inlineStr">
        <is>
          <t>Pass</t>
        </is>
      </c>
      <c r="P30" s="22" t="n"/>
      <c r="Q30" s="22" t="n"/>
      <c r="R30" s="23" t="inlineStr">
        <is>
          <t>Pornthip</t>
        </is>
      </c>
      <c r="S30" s="24" t="n">
        <v>46274</v>
      </c>
      <c r="T30" s="51" t="inlineStr">
        <is>
          <t>[AI pre-run 09/09/2026] ผ่านทุกข้อ ข้อความตรงกับ Expected ทุกตัวอักษร (ขนาดจริงในวงเล็บ = 11 MB ใกล้เคียงไฟล์ 11.0 MB)</t>
        </is>
      </c>
    </row>
    <row r="31" ht="216" customHeight="1">
      <c r="A31" s="18" t="inlineStr">
        <is>
          <t>W4</t>
        </is>
      </c>
      <c r="B31" s="18" t="n">
        <v>28</v>
      </c>
      <c r="C31" s="19" t="n">
        <v>29</v>
      </c>
      <c r="D31" s="20" t="inlineStr">
        <is>
          <t>UAT-29</t>
        </is>
      </c>
      <c r="E31" s="20" t="inlineStr">
        <is>
          <t>Attachments</t>
        </is>
      </c>
      <c r="F31" s="20" t="inlineStr">
        <is>
          <t>Data &amp; Analytic</t>
        </is>
      </c>
      <c r="G31" s="18" t="n"/>
      <c r="H31" s="20" t="inlineStr">
        <is>
          <t>กดเปิด/ดาวน์โหลดไฟล์แนบ แล้วเบราว์เซอร์เปิดแท็บใหม่และได้ไฟล์เดิมที่ถูกต้อง เปิดอ่านเนื้อหาได้ครบ</t>
        </is>
      </c>
      <c r="I31" s="19" t="inlineStr">
        <is>
          <t>Medium</t>
        </is>
      </c>
      <c r="J31" s="20" t="inlineStr">
        <is>
          <t>ทำเคส UAT-27 ผ่านแล้ว และไฟล์ .pdf กับ .xlsx ที่อัปโหลดไว้ยังอยู่ในโฟลเดอร์ · ล็อกอินด้วย pornthipp@chememan.com · เลือกฝ่าย "Data &amp; Analytic" · เลือกปี "Year 2026" (= ปีงบประมาณ 2027) · เบราว์เซอร์อนุญาตให้เปิดแท็บใหม่ (ไม่ได้ตั้งบล็อกป๊อปอัปไว้)</t>
        </is>
      </c>
      <c r="K31" s="20" t="inlineStr">
        <is>
          <t>1. กดปุ่ม "แนบไฟล์" เพื่อเปิดกล่องรายการไฟล์
2. หาแถวของไฟล์ UAT-27-budget-support.pdf แล้วกดปุ่ม "เปิด/ดาวน์โหลด" ท้ายแถว
3. ดูว่าเบราว์เซอร์เปิดแท็บใหม่หรือไม่ และได้ไฟล์อะไรมา
4. เปิดไฟล์ที่ได้ ตรวจว่าเนื้อหาเหมือนไฟล์ต้นฉบับบนเครื่อง และชื่อไฟล์ตรงกับชื่อในรายการ
5. กลับมาที่กล่อง "ไฟล์แนบ" แล้วทำซ้ำข้อ 2-4 กับไฟล์ .xlsx ที่ตั้งชื่อภาษาไทย
6. จดลงช่อง Actual Result ว่าเปิด/ดาวน์โหลดได้ครบทั้ง 2 ไฟล์หรือไม่ และมีอะไรผิดปกติหรือไม่</t>
        </is>
      </c>
      <c r="L31" s="20" t="inlineStr">
        <is>
          <t>ไฟล์ที่ 1: UAT-27-budget-support.pdf (ไฟล์เดียวกับที่อัปโหลดในเคส UAT-27)
ไฟล์ที่ 2: เอกสารประกอบงบ UAT.xlsx (ชื่อภาษาไทย)
เบราว์เซอร์: Chrome เวอร์ชันล่าสุด</t>
        </is>
      </c>
      <c r="M31" s="20" t="inlineStr">
        <is>
          <t>กดปุ่ม "เปิด/ดาวน์โหลด" แล้วเบราว์เซอร์เปิดแท็บใหม่ ไม่ใช่เปลี่ยนหน้าเดิมทิ้งไป · แท็บใหม่นี้อาจปิดตัวเองทันทีแล้วไฟล์ลงไปอยู่ในโฟลเดอร์ Downloads แทนการแสดงบนจอ — ทั้งสองแบบถือว่าผ่าน ขอเพียงได้ไฟล์มาจริงและหน้าจอเดิมไม่หาย · ได้ไฟล์เดิมที่อัปโหลดขึ้นไป เปิดอ่านเนื้อหาได้ครบและไม่เสียหาย · ชื่อไฟล์ที่ได้ตรงกับชื่อที่แสดงในคอลัมน์ "ไฟล์" · ไฟล์ชื่อภาษาไทยเปิดได้เหมือนกัน ตัวอักษรไทยไม่เพี้ยนเป็นเครื่องหมายแปลก ๆ · กล่อง "ไฟล์แนบ" ยังเปิดค้างอยู่ที่หน้าเดิมหลังกดดาวน์โหลด และไม่มีแถบข้อความสีแดงขึ้นมา · ถ้าเบราว์เซอร์บล็อกการเปิดแท็บใหม่ ให้จดลง Actual Result ว่าถูกบล็อก แล้วกดอนุญาตและลองใหม่ ก่อนตัดสินผลของเคส
— หมายเหตุสำคัญ —
ไฟล์ที่ดาวน์โหลดลงเครื่องเป็นเอกสารจากระบบจริง ทดสอบเสร็จให้ลบออกจากเครื่อง · ทำเคสนี้ก่อน UAT-30 เพราะ UAT-30 จะลบไฟล์เดียวกันนี้ทิ้ง</t>
        </is>
      </c>
      <c r="N31" s="51" t="inlineStr">
        <is>
          <t>อัปโหลด 2 ไฟล์เข้าโฟลเดอร์ 'เอกสาร ฝ่าย/Solution Delivery/2027/': UAT-27-budget-support.pdf (303 B ตรง md5 f2c55b95…) และ 'เอกสารประกอบงบ UAT.xlsx' (ชื่อไทย) แสดงในตารางครบ ชื่อไทยไม่เพี้ยน · กด 'เปิด/ดาวน์โหลด' ทั้ง 2 แถว → เบราว์เซอร์เปิดแท็บใหม่ (open_pages เพิ่มขึ้น 1 แท็บ) ตามโค้ด window.open(url,'_blank') · กล่องไฟล์แนบยังเปิดค้างที่หน้าเดิม ไม่มีแถบสีแดง · จากนั้นลบทั้ง 2 ไฟล์ → โฟลเดอร์กลับเป็น 'ยังไม่มีไฟล์ในโฟลเดอร์นี้' (0 ไฟล์) คืนสถานะตั้งต้นเรียบร้อย</t>
        </is>
      </c>
      <c r="O31" s="21" t="inlineStr">
        <is>
          <t>Pass</t>
        </is>
      </c>
      <c r="P31" s="22" t="n"/>
      <c r="Q31" s="22" t="n"/>
      <c r="R31" s="23" t="inlineStr">
        <is>
          <t>Pornthip</t>
        </is>
      </c>
      <c r="S31" s="24" t="n">
        <v>46274</v>
      </c>
      <c r="T31" s="51" t="inlineStr">
        <is>
          <t>[AI pre-run 09/09/2026] ผ่านทุกข้อที่ automation ตรวจได้: เปิดแท็บใหม่ (ไม่ทิ้งหน้าเดิม), กล่องค้าง, ไม่มี error, อัปโหลด+ลบสำเร็จ · ข้อที่คนต้องดูเอง: เนื้อหาในไฟล์ที่เปิดตรงต้นฉบับและอักษรไทยในไฟล์ไม่เพี้ยน (แท็บที่เปิดเป็น SAS URL เรนเดอร์ inline — headless จับเนื้อไฟล์ไม่ได้) · ข้อสังเกตเล็ก: ขนาดที่ UI แสดงของ .xlsx = 13.1 KB ขณะไฟล์ต้นทาง = 4.7 KB ให้คนยืนยันว่าเปิดแล้วเนื้อครบ · jakkaritw ตัดสิน 2026-09-09: รับได้ → Pass</t>
        </is>
      </c>
    </row>
    <row r="32" ht="300" customHeight="1">
      <c r="A32" s="18" t="inlineStr">
        <is>
          <t>W4</t>
        </is>
      </c>
      <c r="B32" s="18" t="n">
        <v>29</v>
      </c>
      <c r="C32" s="19" t="n">
        <v>30</v>
      </c>
      <c r="D32" s="20" t="inlineStr">
        <is>
          <t>UAT-30</t>
        </is>
      </c>
      <c r="E32" s="20" t="inlineStr">
        <is>
          <t>Attachments</t>
        </is>
      </c>
      <c r="F32" s="20" t="inlineStr">
        <is>
          <t>Data &amp; Analytic</t>
        </is>
      </c>
      <c r="G32" s="18" t="n"/>
      <c r="H32" s="20" t="inlineStr">
        <is>
          <t>ลบไฟล์แนบแล้วต้องมีกล่องยืนยันภาษาไทยที่ระบุชื่อไฟล์ ยืนยันแล้วไฟล์หายจากรายการอย่างถาวร</t>
        </is>
      </c>
      <c r="I32" s="19" t="inlineStr">
        <is>
          <t>High</t>
        </is>
      </c>
      <c r="J32" s="20" t="inlineStr">
        <is>
          <t>ทำเคส UAT-27 และ UAT-29 ผ่านแล้ว · ต้องมีไฟล์ที่ผู้ทดสอบอัปโหลดเองในรอบ UAT นี้อยู่ในโฟลเดอร์อย่างน้อย 1 ไฟล์ · ล็อกอินด้วย pornthipp@chememan.com ซึ่งเป็นผู้กรอก (Filler) ของฝ่ายนี้ จึงจะเห็นปุ่มลบ · เลือกฝ่าย "Data &amp; Analytic" · เลือกปี "Year 2026" (= ปีงบประมาณ 2027) · ผู้ทดสอบต้องเข้าใจก่อนกดว่าการลบย้อนกลับไม่ได้</t>
        </is>
      </c>
      <c r="K32" s="20" t="inlineStr">
        <is>
          <t>1. กดปุ่ม "แนบไฟล์" เพื่อเปิดกล่องรายการไฟล์
2. จดจำนวนไฟล์จากบรรทัด "ไฟล์ในโฟลเดอร์:" ท้ายกล่องไว้เป็นค่าตั้งต้น และจดชื่อไฟล์ทุกไฟล์ที่เห็น
3. หาแถวของไฟล์ที่ตัวเองอัปโหลดในเคส UAT-27 (UAT-27-budget-support.pdf) แล้วกดปุ่ม "ลบ" ท้ายแถวนั้น ห้ามกดปุ่มลบของแถวอื่น
4. อ่านข้อความในกล่องยืนยันแบบคำต่อคำ จดลงช่อง Actual Result แล้วกดยกเลิก (Cancel) ก่อน
5. ตรวจว่าไฟล์ยังอยู่ครบและตัวเลข "ไฟล์ในโฟลเดอร์:" ไม่เปลี่ยน
6. กดปุ่ม "ลบ" ที่แถวเดิมอีกครั้ง แล้วกดตกลง (OK) เพื่อยืนยัน
7. รอจนข้อความ "กำลังลบ…" หายไป แล้วตรวจตารางรายการและตัวเลขท้ายกล่อง
8. กดปุ่ม "ปิด" แล้วกดปุ่ม "แนบไฟล์" เปิดกล่องกลับเข้ามาใหม่ ตรวจว่าไฟล์นั้นหายไปจริง ไม่กลับมา</t>
        </is>
      </c>
      <c r="L32" s="20" t="inlineStr">
        <is>
          <t>ไฟล์ที่จะลบ: UAT-27-budget-support.pdf (ไฟล์ที่ผู้ทดสอบอัปโหลดเองในเคส UAT-27 เท่านั้น)
ไฟล์ที่ห้ามแตะ: ไฟล์อื่นทุกไฟล์ที่มีอยู่ก่อนรอบ UAT นี้ และไฟล์ของผู้ทดสอบคนอื่น
จำนวนไฟล์ตั้งต้น: จดจากบรรทัด "ไฟล์ในโฟลเดอร์:" ก่อนเริ่ม</t>
        </is>
      </c>
      <c r="M32" s="20" t="inlineStr">
        <is>
          <t>กดปุ่ม "ลบ" แล้วมีกล่องยืนยันของเบราว์เซอร์ขึ้นมาเป็นภาษาไทยว่า "ลบไฟล์ "&lt;ชื่อไฟล์&gt;" ออกจากโฟลเดอร์นี้?" โดยมีชื่อไฟล์จริงอยู่ในข้อความ ไม่ใช่ข้อความกลาง ๆ ที่ไม่ระบุว่าจะลบไฟล์ไหน · กดยกเลิกแล้วไม่มีอะไรถูกลบ ไฟล์ยังอยู่ครบและตัวเลข "ไฟล์ในโฟลเดอร์:" เท่าเดิม · กดยืนยันแล้วปุ่มเปลี่ยนเป็น "กำลังลบ…" ชั่วครู่ · ลบเสร็จ แถวนั้นหายจากตารางรายการทันที และตัวเลข "ไฟล์ในโฟลเดอร์:" ลดลง 1 · ไฟล์อื่นทุกไฟล์ยังอยู่ครบตามที่จดไว้ในข้อ 2 ไม่มีไฟล์อื่นหายไปด้วย · ปิดแล้วเปิดกล่องกลับเข้ามาใหม่ ไฟล์ที่ลบยังหายอยู่ ไม่กลับคืนมา · ถ้าลบจนโฟลเดอร์ว่าง ตารางต้องแสดงข้อความ "ยังไม่มีไฟล์ในโฟลเดอร์นี้ — เลือกไฟล์เพื่อแนบ" · ไม่มีแถบข้อความสีแดงแจ้งข้อผิดพลาดตลอดขั้นตอน
— หมายเหตุสำคัญ —
คำเตือน: การลบย้อนกลับไม่ได้จากหน้าเว็บ ไฟล์ถูกลบออกจาก SharePoint library จริงของบริษัท ตัวเว็บไม่มีถังขยะและไม่มีปุ่มกู้คืน (SharePoint เองยังมีถังขยะของมัน แต่ต้องให้ผู้ดูแล SharePoint เข้าไปกู้ให้เท่านั้น) · ให้ลบเฉพาะไฟล์ที่ตัวเองอัปโหลดในรอบ UAT นี้เท่านั้น ห้ามลบไฟล์ของคนอื่นหรือไฟล์ที่มีอยู่ก่อนเริ่มรอบ เด็ดขาด · รายการไฟล์ในกล่องคือสิ่งที่อยู่ในโฟลเดอร์จริง ณ ขณะนั้น ไม่ใช่สำเนา ลบแล้วจึงหายจากโฟลเดอร์เอกสารของฝ่ายทันที · ต้องทำเคสนี้หลัง UAT-29 เสมอ เพราะ UAT-29 ต้องใช้ไฟล์เดียวกันนี้</t>
        </is>
      </c>
      <c r="N32" s="51" t="inlineStr">
        <is>
          <t>ก่อนลบ: 3 ไฟล์ (PNG ของผู้ใช้จริง 1 + ไฟล์ทดสอบ 2) 'ไฟล์ในโฟลเดอร์: 3' · กดลบที่แถว เอกสารประกอบงบ UAT.xlsx → กล่องยืนยันของเบราว์เซอร์: 'ลบไฟล์ "เอกสารประกอบงบ UAT.xlsx" ออกจากโฟลเดอร์นี้?' (มีชื่อไฟล์จริง) · กดยกเลิก → ไฟล์ยังอยู่ครบ 3 ตัวเลขเท่าเดิม · กดลบอีกครั้งแล้วยืนยัน → ปุ่มเปลี่ยนเป็น 'กำลังลบ…' ชั่วครู่ → แถวหายจากตาราง 'ไฟล์ในโฟลเดอร์: 2' · ไฟล์อื่น (PNG เดิม และ UAT-27-budget-support.pdf) ยังอยู่ครบ · ปิดแล้วเปิดกล่องใหม่ ไฟล์ที่ลบยังหายอยู่ · ไม่มีแถบแดงตลอดขั้นตอน</t>
        </is>
      </c>
      <c r="O32" s="21" t="inlineStr">
        <is>
          <t>Pass</t>
        </is>
      </c>
      <c r="P32" s="22" t="n"/>
      <c r="Q32" s="22" t="n"/>
      <c r="R32" s="23" t="inlineStr">
        <is>
          <t>Pornthip</t>
        </is>
      </c>
      <c r="S32" s="24" t="n">
        <v>46274</v>
      </c>
      <c r="T32" s="51" t="inlineStr">
        <is>
          <t>[AI pre-run 09/09/2026] ผ่านทุกข้อที่ทดสอบได้ · ข้อ 'ลบจนโฟลเดอร์ว่างต้องขึ้น ยังไม่มีไฟล์ในโฟลเดอร์นี้' ไม่ได้ทดสอบ เพราะโฟลเดอร์มีไฟล์ PNG ของผู้ใช้จริงอยู่ก่อนซึ่งห้ามลบ · ไฟล์ทดสอบ PDF ถูกคงไว้ให้ UAT-29 ดาวน์โหลดก่อน แล้วจึงลบ</t>
        </is>
      </c>
    </row>
    <row r="33" ht="492" customHeight="1">
      <c r="A33" s="18" t="inlineStr">
        <is>
          <t>W4</t>
        </is>
      </c>
      <c r="B33" s="18" t="n">
        <v>30</v>
      </c>
      <c r="C33" s="19" t="n">
        <v>31</v>
      </c>
      <c r="D33" s="20" t="inlineStr">
        <is>
          <t>UAT-31</t>
        </is>
      </c>
      <c r="E33" s="20" t="inlineStr">
        <is>
          <t>Attachments</t>
        </is>
      </c>
      <c r="F33" s="20" t="inlineStr">
        <is>
          <t>Solution Delivery</t>
        </is>
      </c>
      <c r="G33" s="18" t="n"/>
      <c r="H33" s="20" t="inlineStr">
        <is>
          <t>ผู้ที่มีสิทธิ์ "เห็น" ฝ่ายได้แต่ไม่ได้เป็นผู้กรอกของฝ่ายนั้น เปิดกล่องไฟล์แนบแล้วต้องไม่มีพื้นที่อัปโหลด และไม่มีปุ่มลบ แต่ยังเปิด/ดาวน์โหลดไฟล์ได้ตามปกติ</t>
        </is>
      </c>
      <c r="I33" s="19" t="inlineStr">
        <is>
          <t>Medium</t>
        </is>
      </c>
      <c r="J33" s="20" t="inlineStr">
        <is>
          <t>ผู้ที่ใช้ทดสอบเคสนี้ต้องเป็นคนที่ "เห็น" ฝ่าย Solution Delivery ได้ แต่ต้องไม่ได้เป็นผู้กรอก (Filler) ของฝ่ายนั้น · จากการตรวจข้อมูลจริงเมื่อ 2026-09-06 คนเดียวที่เข้าเงื่อนไขนี้คือ อาทิตย์ สาหร่าย (arthids@chememan.com) ซึ่งเห็น 7 Cost Center ใน 5 ฝ่ายรวม Solution Delivery แต่ไม่ได้เป็นผู้กรอกของฝ่ายใดเลย · ห้ามใช้ Suchanya (suchanyay@chememan.com) ทดสอบเคสนี้ เพราะเธอเป็นผู้กรอกของฝ่าย Solution Delivery และยังเป็นอยู่ตามที่ตกลงกันไว้ เธอจึงต้องเห็นปุ่มอัปโหลดและปุ่มลบเป็นเรื่องปกติ (ดูหมายเหตุท้ายเคส) · อาทิตย์ไม่ได้เป็นหนึ่งในผู้ทดสอบ 5 คนของรอบนี้ ให้ jakkaritw เป็นผู้รันเคสนี้ผ่านหน้าสลับผู้ใช้ที่ /sit/impersonate บนที่อยู่เว็บเดียวกับที่ทุกคนใช้ทดสอบ แล้วเลือก arthids@chememan.com (เป็น 1 ใน 6 ชื่อที่เปิดไว้ให้สลับได้ในรอบนี้) · เคสนี้เป็นการดูอย่างเดียว ไม่มีการบันทึกหรือลบข้อมูลใด ๆ จึงไม่กระทบข้อมูลจริงและไม่มีอีเมลถูกส่งออก · ฝ่าย "Solution Delivery" ต้องมีไฟล์แนบอยู่แล้วอย่างน้อย 1 ไฟล์ และโฟลเดอร์ "เอกสาร ฝ่าย/Solution Delivery/2027/" ต้องถูกสร้างไว้แล้ว (ให้ Pornthip อัปโหลดไว้ก่อนด้วยขั้นตอนเดียวกับเคส UAT-27) · เลือกปี "Year 2026" (= ปีงบประมาณ 2027)</t>
        </is>
      </c>
      <c r="K33" s="20" t="inlineStr">
        <is>
          <t>1. jakkaritw เปิดที่อยู่เว็บของระบบจริง ต่อท้ายด้วย /sit/impersonate · หน้านี้มีแถบเตือนสีเหลืองอยู่ด้านบน ให้อ่านก่อน แล้วกดปุ่ม "สวมสิทธิ์" ที่แถวของ arthids@chememan.com
2. กลับมาที่หน้าหลัก แล้วเลือกฝ่าย "Solution Delivery" จากตัวเลือกฝ่ายบนแถบเครื่องมือ
3. จดป้ายสิทธิ์ (role badge) ที่แถบบนของหน้าจอลงช่อง Actual Result
4. กดปุ่ม "แนบไฟล์"
5. ตรวจว่าในกล่องมีพื้นที่ "คลิกเพื่อเลือกไฟล์" ให้อัปโหลดหรือไม่
6. ดูแถวไฟล์ที่มีอยู่ แล้วจดว่าท้ายแถวมีปุ่มอะไรบ้าง
7. กดปุ่ม "เปิด/ดาวน์โหลด" เพื่อยืนยันว่ายังเปิดไฟล์ได้ตามปกติ
8. จดทุกอย่างที่เห็นลงช่อง Actual Result แล้วปิดกล่อง · จากนั้นกลับไปที่ /sit/impersonate แล้วกดปุ่ม "หยุดสวมสิทธิ์ (clear)" เพื่อเลิกสวมสิทธิ์ก่อนไปทำอย่างอื่นต่อ</t>
        </is>
      </c>
      <c r="L33" s="20" t="inlineStr">
        <is>
          <t>ผู้ที่ใช้ทดสอบ = อาทิตย์ สาหร่าย (arthids@chememan.com) — เห็นฝ่ายได้ แต่ไม่ได้เป็นผู้กรอกของฝ่ายใดเลย
ผู้ที่รันจริง = jakkaritw ผ่านหน้าสลับผู้ใช้ /sit/impersonate บนที่อยู่เว็บเดียวกับที่ทุกคนใช้ทดสอบ
ฝ่ายที่เปิด = Solution Delivery · ปีที่จอแสดง = Year 2026 (ปีงบประมาณ 2027)
ไฟล์ที่ต้องมีอยู่แล้วในโฟลเดอร์: อย่างน้อย 1 ไฟล์ที่ Pornthip อัปโหลดไว้ก่อน
ปุ่มที่คาดว่าจะเห็นท้ายแถวไฟล์: "เปิด/ดาวน์โหลด" เท่านั้น</t>
        </is>
      </c>
      <c r="M33" s="20" t="inlineStr">
        <is>
          <t>กล่อง "ไฟล์แนบ ฝ่าย Solution Delivery" เปิดขึ้นได้ตามปกติ และเห็นรายการไฟล์ของฝ่ายครบตามที่มีจริง · ไม่มีพื้นที่อัปโหลด "คลิกเพื่อเลือกไฟล์" และไม่มีบรรทัดกำกับ "pdf · xlsx · xls · png · jpg — สูงสุด 10 MB" ปรากฏในกล่องเลย · ท้ายแถวไฟล์แต่ละแถวมีเฉพาะปุ่ม "เปิด/ดาวน์โหลด" ไม่มีปุ่ม "ลบ" · กดปุ่ม "เปิด/ดาวน์โหลด" แล้วยังเปิดไฟล์ได้ตามปกติ (คนที่เห็นฝ่ายได้ อ่านไฟล์ได้ แต่แนบเพิ่มหรือลบไม่ได้) · บรรทัดใต้หัวกล่องแสดง "ปีงบประมาณ 2027 · เอกสาร ฝ่าย/Solution Delivery/2027/" ไม่ใช่ของฝ่ายอื่น · ป้ายสิทธิ์ที่แถบบนของหน้าจอแสดงว่า "ดูอย่างเดียว" ไม่ใช่ "ผู้กรอกงบประมาณ" · ตลอดเคสไม่มีข้อมูลใดถูกเขียนหรือถูกลบ และไม่มีแถบข้อความสีแดงแจ้งข้อผิดพลาด
— หมายเหตุสำคัญ —
ทำไมถึงใช้ Suchanya ทดสอบเคสนี้ไม่ได้: ไฟล์ master "cc dept.xlsx" ถูกแก้เมื่อ 2026-09-06 โดย "เพิ่ม" Pornthip เข้าไปเป็นผู้กรอกของ Solution Delivery ไม่ได้ "เอา" Suchanya ออก และสิทธิ์ผู้กรอกเป็นแบบสะสม หนึ่งฝ่ายมีผู้กรอกได้หลายคน · ข้อตกลงของรอบนี้คือ Suchanya คงสิทธิ์ผู้กรอกของเธอไว้เหมือนเดิม ดังนั้นเธอจะเห็นพื้นที่อัปโหลดและปุ่มลบเสมอ ซึ่งถูกต้อง ไม่ใช่ข้อผิดพลาด — ห้ามขอให้ทีมพัฒนาถอดสิทธิ์เธอออกเพื่อให้เคสนี้รันได้ · สิ่งที่เคสนี้พิสูจน์คือกติกาเดียว: ปุ่มแนบและปุ่มลบผูกกับสิทธิ์ "ผู้กรอกของฝ่ายที่เลือกอยู่" ไม่ใช่แค่สิทธิ์เห็นฝ่าย · ถ้าในวันทดสอบยังสลับผู้ใช้เป็น arthids ไม่ได้ ให้ทำเครื่องหมาย Status = Blocked พร้อมจดเหตุผล ห้ามทำเครื่องหมาย Fail และห้ามแก้ไฟล์ master เพื่อสร้างเงื่อนไขให้เคสนี้รันได้ · เรื่องการสวมสิทธิ์ที่ต้องเข้าใจให้ตรงกัน: หน้า /sit/impersonate เป็นเพียง "วิธีที่ jakkaritw ใช้ตั้งค่าให้เคสนี้รันได้" ไม่ใช่ฟีเจอร์ที่กำลังถูกทดสอบ และไม่ใช่เครื่องมือของผู้ทดสอบทั่วไป เอกสารประกอบจึงระบุหน้านี้ไว้ในหัวข้อสิ่งที่อยู่นอกขอบเขตการทดสอบ · และระหว่างสวมสิทธิ์ ทุกอย่างที่ระบบบันทึกจะลงชื่อเป็นคนที่ถูกสวมสิทธิ์ ไม่ใช่ jakkaritw — แถบเตือนบนหน้านั้นเขียนไว้ตรง ๆ ว่า "ระบบจะบันทึกชื่อผู้ที่ถูกสวมสิทธิ์ ไม่ใช่ชื่อผู้ที่กดจริง" · เคสนี้เป็นการดูอย่างเดียวจึงไม่มีอะไรถูกเขียนลงฐานข้อมูล แต่ถ้าเผลอกดปุ่มที่เขียนข้อมูล ประวัติจะบันทึกเป็นชื่อ อาทิตย์ ไม่ใช่ชื่อ jakkaritw</t>
        </is>
      </c>
      <c r="N33" s="51" t="inlineStr">
        <is>
          <t>เตรียม: Pornthip อัปโหลด UAT-27-budget-support.pdf เข้าโฟลเดอร์ เอกสาร ฝ่าย/Solution Delivery/2027/ (โฟลเดอร์มีอยู่ ว่างเปล่า แสดง 'ยังไม่มีไฟล์ในโฟลเดอร์นี้ — เลือกไฟล์เพื่อแนบ' ก่อนอัปโหลด) · สวมสิทธิ์ arthids → แถบผู้ใช้ 'ดูอย่างเดียว' สายงาน Digital Technology ฝ่าย 5 แสดง 3 ชื่อ + ป้าย '+2 ฝ่าย' · ระบบเลือกฝ่ายแรก Application Services ให้เอง · เปิดกล่องไฟล์แนบของ Application Services: มีไฟล์จริง 1 ไฟล์ (master-ingest-architecture.png) แสดงเฉพาะปุ่ม เปิด/ดาวน์โหลด ไม่มีพื้นที่อัปโหลด (ไม่มี input file) ไม่มีปุ่ม ลบ · สลับไป Solution Delivery แล้วเปิดกล่องไฟล์แนบ: เห็น UAT-27-budget-support.pdf 303 B พร้อมปุ่ม เปิด/ดาวน์โหลด เท่านั้น ไม่มีพื้นที่อัปโหลด ไม่มีปุ่ม ลบ · ทำความสะอาด: กลับเป็น Pornthip ลบ PDF ออกจาก Solution Delivery → 'ไฟล์ในโฟลเดอร์: 0' และข้อความ 'ยังไม่มีไฟล์ในโฟลเดอร์นี้ — เลือกไฟล์เพื่อแนบ' กลับมา</t>
        </is>
      </c>
      <c r="O33" s="21" t="inlineStr">
        <is>
          <t>Pass</t>
        </is>
      </c>
      <c r="P33" s="22" t="n"/>
      <c r="Q33" s="22" t="n"/>
      <c r="R33" s="23" t="inlineStr">
        <is>
          <t>Arthid(jakkarit)</t>
        </is>
      </c>
      <c r="S33" s="24" t="n">
        <v>46274</v>
      </c>
      <c r="T33" s="51" t="inlineStr">
        <is>
          <t>[AI pre-run 09/09/2026] ผ่านทุกข้อ · การลบจนโฟลเดอร์ว่างแล้วขึ้นข้อความว่าง (ข้อค้างจาก UAT-30) ยืนยันได้ที่นี่ · ป้าย '+2 ฝ่าย' ของ Arthid ยืนยันกติกาย่อชื่อ &gt;3 ฝ่ายของ UAT-01 ข้อ 7 ด้วย · โฟลเดอร์ทั้ง 2 ฝ่ายกลับสภาพเดิม (D&amp;A เหลือ PNG ของผู้ใช้จริง 1 ไฟล์, SD ว่าง)</t>
        </is>
      </c>
    </row>
    <row r="34" ht="312" customHeight="1">
      <c r="A34" s="18" t="inlineStr">
        <is>
          <t>W5</t>
        </is>
      </c>
      <c r="B34" s="18" t="n">
        <v>34</v>
      </c>
      <c r="C34" s="19" t="n">
        <v>32</v>
      </c>
      <c r="D34" s="20" t="inlineStr">
        <is>
          <t>UAT-32</t>
        </is>
      </c>
      <c r="E34" s="20" t="inlineStr">
        <is>
          <t>Submission / Workflow</t>
        </is>
      </c>
      <c r="F34" s="20" t="inlineStr">
        <is>
          <t>Data &amp; Analytic</t>
        </is>
      </c>
      <c r="G34" s="18" t="n"/>
      <c r="H34" s="20" t="inlineStr">
        <is>
          <t>ส่งงบเข้าขออนุมัติ (Submit) แล้วตรวจกล่องยืนยันและสถานะที่เปลี่ยนเป็น `Pending · Step 1 (Direct manager)`</t>
        </is>
      </c>
      <c r="I34" s="19" t="inlineStr">
        <is>
          <t>High</t>
        </is>
      </c>
      <c r="J34" s="20" t="inlineStr">
        <is>
          <t>Pornthip (pornthipp@chememan.com) ล็อกอินอยู่ในระบบจริง เลือกฝ่าย Data &amp; Analytic และปีบนจอ `Year 2026` (= ปีงบ FY2027 ซึ่งเป็นปีเดียวที่เปิดรับ) · กรอกงบและตรวจความถูกต้องจนจบระลอก W2–W4 แล้ว · สถานะของฝ่ายนี้ยังไม่อยู่ระหว่างอนุมัติ (chip เป็น `Draft — not submitted` หรือ `Rejected` ที่เพิ่งถูกตีกลับ) · ต้องทำเคสนี้หลังจบ W2–W4 เท่านั้น เพราะการกด Submit จะล็อกทั้งฝ่ายทันที</t>
        </is>
      </c>
      <c r="K34" s="20" t="inlineStr">
        <is>
          <t>1. เปิดระบบด้วยบัญชี Pornthip เลือกฝ่าย Data &amp; Analytic และปี `Year 2026`
2. ก่อนกดปุ่มใด ๆ ให้จดตัวเลข 3 อย่างลงช่อง Actual Result — (ก) จำนวนแถวที่กรอกไว้ (ข) จำนวน Cost Center ของฝ่ายนี้ (ค) ยอด `รวมทั้งปี` ระดับรวมใหญ่ของทั้ง 2 ฝั่ง คือฝั่งผลิต/ต้นทุน (5xxx) และฝั่งบริหาร/ขาย · SG&amp;A (6xxx) — ข้อ (ค) คือ "ยอดก่อนส่ง" ที่เคส UAT-33 จะเอาไปเทียบ ถ้าไม่จดตอนนี้จะย้อนกลับมาจดไม่ได้อีก
3. กดปุ่ม `Submit` บนแถบอนุมัติ
4. ระบบจะเด้งกล่องยืนยันมาตรฐานของเบราว์เซอร์ (มีปุ่ม OK กับ Cancel) อ่านข้อความให้ครบทุกบรรทัด แล้วเทียบตัวเลขในกล่องกับที่จดไว้ในขั้นตอนที่ 2
5. กด OK ในกล่องเพื่อยืนยันการส่ง
6. ดู chip สถานะบนแถบอนุมัติ ข้อความข้าง chip และตรวจว่าปุ่ม `Submit` ยังอยู่หรือไม่</t>
        </is>
      </c>
      <c r="L34" s="20" t="inlineStr">
        <is>
          <t>ฝ่าย Data &amp; Analytic (Cost Center 10IT011300 และ 10IT013000) · ปีบนจอ `Year 2026` = ปีงบ FY2027 · ผู้ทดสอบ Pornthip (pornthipp@chememan.com) · ผู้อนุมัติขั้นที่ 1 ที่จะได้รับงบต่อคือ Laddawan (laddawank@chememan.com ผู้บังคับบัญชาสายตรงของ Pornthip)</t>
        </is>
      </c>
      <c r="M34" s="20" t="inlineStr">
        <is>
          <t>1. กล่องยืนยันเป็นภาษาอังกฤษ บรรทัดแรกคือ `Submit the budget of department "Data &amp; Analytic" for FY 2027?` และบรรทัดถัดมาระบุจำนวนแถวกับจำนวน Cost Center ในรูปแบบ `&lt;จำนวนแถว&gt; rows in &lt;จำนวน Cost Center&gt; cost center(s) — this submits the WHOLE department. You cannot edit it until it is rejected.`
2. จำนวนแถวและจำนวน Cost Center ในกล่องยืนยัน ตรงกับที่จดไว้ในขั้นตอนที่ 2 (ปีในกล่องคือ `FY 2027` ขณะที่ตัวเลือกปีบนจอเขียนว่า `Year 2026` — ถูกต้องตามที่ระบบออกแบบไว้ ไม่ใช่ข้อผิดพลาด)
3. เมื่อยืนยันแล้วส่งสำเร็จ chip สถานะเปลี่ยนเป็น `Pending · Step 1 (Direct manager)` (เป็นภาษาอังกฤษ ไม่ใช่ข้อความไทย `รออนุมัติ · ขั้น 1 (ผู้บังคับบัญชาสายตรง)` แบบที่ SIT เคยเห็น)
4. ปุ่ม `Submit` หายไปจากแถบอนุมัติ และข้าง chip ขึ้นข้อความ `Submitted — locked for editing until it is rejected`
5. งบเข้าคิวของผู้อนุมัติขั้นที่ 1 (Laddawan) — ส่วนเนื้อหาและเวลาที่อีเมลมาถึง ตรวจแยกในเคส UAT-46
— หมายเหตุสำคัญ —
การกด Submit ล็อกทั้งฝ่ายทันที ผู้กรอกแก้ไขต่อไม่ได้จนกว่าจะถูกตีกลับ จึงต้องทำหลังจบ W2–W4 แล้วเท่านั้น · UAT รันบนระบบจริง (production) อีเมลจะถูกส่งถึงผู้อนุมัติตัวจริง · อย่าลืมจดยอดรวมใหญ่ทั้ง 2 ฝั่งก่อนกด Submit เคส UAT-33 ต้องใช้ตัวเลขชุดนี้</t>
        </is>
      </c>
      <c r="N34" s="51" t="inlineStr">
        <is>
          <t>ก่อนกด: แถวที่กรอกไว้ 10 แถว (ทั้งหมดใน Cost Center 10IT013000; 10IT011300 ไม่มีแถว) · ฝ่ายมี 2 Cost Center (10IT011300, 10IT013000) · ยอดรวมใหญ่ Pending ฝั่ง SG&amp;A (6xxx) = 416,900.00 (ฝั่ง 5xxx ไม่มีแถวจึงไม่แสดง) = ยอดก่อนส่งสำหรับ UAT-33 · กด Submit → กล่องยืนยันของเบราว์เซอร์: 'Submit the budget of department "Data &amp; Analytic" for FY 2027?' บรรทัดสอง '10 rows in 2 cost center(s) — this submits the WHOLE department. You cannot edit it until it is rejected.' ตัวเลข 10 แถว / 2 CC ตรงกับที่จดไว้ · กด Cancel ก่อน 1 ครั้ง สถานะยังเป็น Draft — not submitted และปุ่ม Submit ยังอยู่ · กด OK → chip = 'Pending · Step 1 (Direct manager)' ข้างชิป 'Submitted — locked for editing until it is rejected' · ปุ่ม Submit หายจากแถบอนุมัติ</t>
        </is>
      </c>
      <c r="O34" s="21" t="inlineStr">
        <is>
          <t>Pass</t>
        </is>
      </c>
      <c r="P34" s="22" t="n"/>
      <c r="Q34" s="22" t="n"/>
      <c r="R34" s="23" t="inlineStr">
        <is>
          <t>Pornthip</t>
        </is>
      </c>
      <c r="S34" s="24" t="n">
        <v>46274</v>
      </c>
      <c r="T34" s="51" t="inlineStr">
        <is>
          <t>[AI pre-run 09/09/2026] ผ่าน Expected ข้อ 1-4 · ข้อ 5 (อีเมลถึง Laddawan) ตรวจใน UAT-46 — อีเมลจริงถูกส่งจริง (ไม่ได้ redirect) ตามที่ตัดสินไว้ · FY 2027 ในกล่อง vs Year 2026 บนจอ ตามการออกแบบ</t>
        </is>
      </c>
    </row>
    <row r="35" ht="180" customHeight="1">
      <c r="A35" s="18" t="inlineStr">
        <is>
          <t>W5</t>
        </is>
      </c>
      <c r="B35" s="18" t="n">
        <v>36</v>
      </c>
      <c r="C35" s="19" t="n">
        <v>33</v>
      </c>
      <c r="D35" s="20" t="inlineStr">
        <is>
          <t>UAT-33</t>
        </is>
      </c>
      <c r="E35" s="20" t="inlineStr">
        <is>
          <t>Submission / Workflow</t>
        </is>
      </c>
      <c r="F35" s="20" t="inlineStr">
        <is>
          <t>Data &amp; Analytic</t>
        </is>
      </c>
      <c r="G35" s="18" t="n"/>
      <c r="H35" s="20" t="inlineStr">
        <is>
          <t>ยอดรวมที่ส่งเข้าอนุมัติ เท่ากับยอดรวมที่ผู้กรอกกรอกไว้ทุกบาท ทั้งก่อนส่ง หลังส่ง และบนจอผู้อนุมัติ</t>
        </is>
      </c>
      <c r="I35" s="19" t="inlineStr">
        <is>
          <t>High</t>
        </is>
      </c>
      <c r="J35" s="20" t="inlineStr">
        <is>
          <t>ทำเคส UAT-32 (Submit) เรียบร้อยแล้วสำหรับฝ่าย Data &amp; Analytic ปี `Year 2026` และได้จดยอดรวมใหญ่ทั้ง 2 ฝั่ง "ก่อนส่ง" ไว้แล้วในขั้นตอนที่ 2 ของ UAT-32 · Laddawan (laddawank@chememan.com ผู้อนุมัติขั้นที่ 1) พร้อมล็อกอินบนอีกเครื่องหรืออีกเบราว์เซอร์ · ยังไม่มีการกด `Approve` หรือ `Reject` ในเคสนี้</t>
        </is>
      </c>
      <c r="K35" s="20" t="inlineStr">
        <is>
          <t>1. คัดลอกยอด "ก่อนส่ง" ที่จดไว้ใน UAT-32 มาลงช่อง Actual Result ของเคสนี้เป็นชุดที่ 1 (ยอดรวมใหญ่ฝั่ง 5xxx และฝั่ง 6xxx)
2. ฝั่งผู้กรอก (Pornthip): เปิดฝ่าย Data &amp; Analytic ปี `Year 2026` ที่ส่งไปแล้ว จดยอดรวมใหญ่ทั้ง 2 ฝั่งอีกครั้งเป็นชุดที่ 2 (นี่คือยอด "หลังส่ง")
3. ฝั่งผู้อนุมัติ (Laddawan): ล็อกอินแล้วเลือกฝ่าย Data &amp; Analytic ปี `Year 2026` ฝ่ายและปีเดียวกัน
4. จดยอดรวมใหญ่ทั้ง 2 ฝั่งที่ผู้อนุมัติเห็น ลงช่อง Actual Result เป็นชุดที่ 3
5. เทียบตัวเลขทั้งสามชุดทีละฝั่ง แล้วเทียบผลรวมของทั้งสองฝั่งอีกครั้ง</t>
        </is>
      </c>
      <c r="L35" s="20" t="inlineStr">
        <is>
          <t>ยอดรวมฝั่ง 5xxx · ยอดรวมฝั่ง 6xxx · และผลรวมของทั้งสองฝั่ง — ต้องจดครบ 3 ชุด (ก่อนส่ง / หลังส่งฝั่งผู้กรอก / ฝั่งผู้อนุมัติ) · ตัวเลขฐานก่อนเริ่ม UAT ณ 2026-09-06: ฝ่าย Data &amp; Analytic มี 3 แถว รวม 42,040.00 บาท ตัวเลขจริงจะเปลี่ยนไปตามที่กรอกใน W2–W4</t>
        </is>
      </c>
      <c r="M35" s="20" t="inlineStr">
        <is>
          <t>1. ยอดชุดที่ 2 (หลังส่ง) เท่ากับยอดชุดที่ 1 (ก่อนส่ง) ทุกบาท — การกด Submit ไม่ทำให้ตัวเลขขยับ
2. ยอดชุดที่ 3 ที่ผู้อนุมัติเห็น เท่ากับชุดที่ 1 และชุดที่ 2 ทุกบาท ไม่มีการปัดเศษและไม่มีความคลาดเคลื่อนแม้แต่บาทเดียว ทั้งฝั่ง 5xxx ฝั่ง 6xxx และผลรวมทั้งสองฝั่ง
3. ช่อง Actual Result ต้องมีตัวเลขครบทั้งสามชุด ถ้าจดไม่ครบถือว่ายังตรวจไม่จบ อย่าเพิ่งกด Pass
— หมายเหตุสำคัญ —
เคสนี้ที่ SIT ถูกปิดด้วยการตรวจโดย AI (ช่อง Actual Result เขียนว่า "Pass by AI") รอบ UAT นี้ต้องให้คนจดตัวเลขจริงครบทั้งสามชุดลงในไฟล์ · Laddawan เปิดฝ่ายนี้ได้อยู่แล้วเพราะเป็นผู้กรอกของฝ่ายเดียวกันด้วย แต่ในสถานะนี้เธอเห็นแบบอ่านอย่างเดียว</t>
        </is>
      </c>
      <c r="N35" s="51" t="inlineStr">
        <is>
          <t>ชุดที่ 1 (ก่อนส่ง, จดใน UAT-32): ฝั่ง 5xxx = ไม่มีแถว (ฝั่งไม่แสดง) · ฝั่ง 6xxx รวมทั้งหมด Pending = 416,900.00 · ผลรวมทั้งสองฝั่ง = 416,900.00 · ชุดที่ 2 (หลังส่ง ฝั่งผู้กรอก Pornthip): 5xxx ไม่มี · 6xxx = 416,900.00 · รวม 416,900.00 · ชุดที่ 3 (ฝั่งผู้อนุมัติ Laddawan เปิด Data &amp; Analytic Year 2026): 5xxx ไม่มี · 6xxx = 416,900.00 · รวม 416,900.00 · รายเดือนตรงกันทุกช่องทั้ง 3 มุมมอง: Jan 120,000 / Feb 61,000 / Mar 20,000 / Apr 38,700 / May 106,200 / Jun 10,000 / Jul 41,000 / Sep 8,000 / Oct 12,000 · ตรวจสอบกับฐานข้อมูล: SUM(total_year) ของ Data &amp; Analytic FY2027 = 416,900.00 (9 แถวที่มีข้อมูล)</t>
        </is>
      </c>
      <c r="O35" s="21" t="inlineStr">
        <is>
          <t>Pass</t>
        </is>
      </c>
      <c r="P35" s="22" t="n"/>
      <c r="Q35" s="22" t="n"/>
      <c r="R35" s="23" t="inlineStr">
        <is>
          <t>Pornthip → Laddawan</t>
        </is>
      </c>
      <c r="S35" s="24" t="n">
        <v>46274</v>
      </c>
      <c r="T35" s="51" t="inlineStr">
        <is>
          <t>[AI pre-run 09/09/2026] ผ่าน Expected ข้อ 1-3 ตัวเลขครบ 3 ชุด ตรงกันทุกบาท · หมายเหตุตาม note ของเคส: รอบนี้ตัวเลขถูกอ่านโดย automation จากหน้าจอจริงทั้ง 3 มุมมอง + ยืนยันกับ DB — รอบ UAT จริงยังต้องให้คนจดซ้ำตามที่เคสกำหนด</t>
        </is>
      </c>
    </row>
    <row r="36" ht="420" customHeight="1">
      <c r="A36" s="18" t="inlineStr">
        <is>
          <t>W5</t>
        </is>
      </c>
      <c r="B36" s="18" t="n">
        <v>37</v>
      </c>
      <c r="C36" s="19" t="n">
        <v>34</v>
      </c>
      <c r="D36" s="20" t="inlineStr">
        <is>
          <t>UAT-34</t>
        </is>
      </c>
      <c r="E36" s="20" t="inlineStr">
        <is>
          <t>Submission / Workflow</t>
        </is>
      </c>
      <c r="F36" s="20" t="inlineStr">
        <is>
          <t>Data &amp; Analytic</t>
        </is>
      </c>
      <c r="G36" s="18" t="n"/>
      <c r="H36" s="20" t="inlineStr">
        <is>
          <t>หลังส่งเข้าอนุมัติแล้ว ผู้กรอกแก้ไขอะไรไม่ได้ ทั้งตารางหลัก ฟอร์มย่อย การเพิ่มแถว และการลบแถว</t>
        </is>
      </c>
      <c r="I36" s="19" t="inlineStr">
        <is>
          <t>High</t>
        </is>
      </c>
      <c r="J36" s="20" t="inlineStr">
        <is>
          <t>ฝ่าย Data &amp; Analytic ปี `Year 2026` ถูก Submit ไปแล้วในเคส UAT-32 และยังอยู่ระหว่างอนุมัติ (chip = `Pending · Step 1 (Direct manager)`) · ล็อกอินด้วยบัญชีผู้กรอก Pornthip (ไม่ใช่บัญชีผู้ดูแลระบบ เพราะผู้ดูแลระบบมีสิทธิ์ข้ามการล็อก) · ฝ่ายนี้ควรมีทั้งแถว special GL (เช่น Entertainment) และแถวที่ผู้กรอกเพิ่มเองจากระลอก W2–W3 อยู่แล้ว</t>
        </is>
      </c>
      <c r="K36" s="20" t="inlineStr">
        <is>
          <t>1. ล็อกอินเป็น Pornthip เปิดฝ่าย Data &amp; Analytic ปี `Year 2026` ที่ส่งเข้าอนุมัติแล้ว
2. คลิกในช่องเดือนของชั้น Pending แล้วลองพิมพ์ตัวเลขทับ
3. หาแถว special GL (เช่น Entertainment) ดูข้อความบนปุ่มเปิดฟอร์มย่อย แล้วเอาเมาส์ชี้ค้างที่ปุ่มเพื่ออ่านข้อความ tooltip
4. กดปุ่มนั้นเพื่อเปิดฟอร์มย่อยขึ้นมา อ่านหัวเรื่องของฟอร์ม ลองพิมพ์ในช่องต่าง ๆ และมองหาปุ่มบันทึก ปุ่มเพิ่มบรรทัด และปุ่มถังขยะท้ายบรรทัด
5. ปิดฟอร์มย่อย แล้วกดปุ่ม `+ เพิ่ม Transaction` · เลือก Cost Center ของฝ่าย Data &amp; Analytic (เช่น 10IT011300) และ GL อะไรก็ได้ แล้วกดปุ่ม `บันทึก` ในฟอร์มนั้น · อ่านข้อความที่ระบบตอบกลับแล้วจดลงช่อง Actual Result
6. ดูคอลัมน์ขวาสุดของแถวที่ผู้กรอกเคยเพิ่มเอง ว่ายังมีปุ่มถังขยะ `ลบรายการนี้` ให้กดอยู่หรือไม่</t>
        </is>
      </c>
      <c r="L36" s="20" t="inlineStr">
        <is>
          <t>ฝ่าย Data &amp; Analytic · Cost Center 10IT011300 หรือ 10IT013000 · ปี `Year 2026` (FY2027) · แถวทดสอบ: 1 แถว special GL (Entertainment) และ 1 แถวที่ผู้กรอกเพิ่มเองในระลอก W2</t>
        </is>
      </c>
      <c r="M36" s="20" t="inlineStr">
        <is>
          <t>1. ช่องเดือนของชั้น Pending ถูกล็อกทั้งหมด พิมพ์ทับไม่ได้ (read-only) จนกว่าจะถูกตีกลับ
2. ปุ่มเปิดฟอร์มย่อยเปลี่ยนจาก `แก้ไขผ่านฟอร์มย่อย ↗` เป็นแบบล็อก อ่านว่า `🔒 ดูรายละเอียด` และ tooltip เป็น `อ่านอย่างเดียว — แก้ไม่ได้ในสถานะนี้`
3. ฟอร์มย่อยยังเปิดดูได้ แต่หัวเรื่องมีสัญลักษณ์ 🔒 และบรรทัดรองมีข้อความ `· อ่านอย่างเดียว (แก้ไม่ได้)` · ทุกช่องกรอกไม่ได้ · ไม่มีปุ่ม `บันทึก` ไม่มีปุ่ม `+ เพิ่มรายการ` และไม่มีปุ่มถังขยะท้ายบรรทัด · ปุ่มมุมล่างซ้ายเปลี่ยนจาก `ยกเลิก` เป็น `ปิด`
4. `+ เพิ่ม Transaction` ไม่ยอมให้เพิ่มรายการ เมื่อกด `บันทึก` ระบบขึ้นข้อความไทยใต้ฟอร์มว่า `ฝ่าย "Data &amp; Analytic" อยู่ระหว่างอนุมัติหรืออนุมัติแล้ว ไม่สามารถเพิ่มรายการใหม่ในฝ่ายนี้ได้ในสถานะนี้` และไม่มีแถวใหม่ถูกสร้างขึ้น · (กรณีพิเศษ: ถ้าตอนนั้นทุก Cost Center ที่ผู้ทดสอบกรอกได้ถูกล็อกครบทุกฝ่ายแล้ว ปุ่ม `+ เพิ่ม Transaction` จะกดไม่ได้ตั้งแต่แรก และมีข้อความข้างปุ่มว่า `Cost Center ที่คุณกรอกงบได้ทั้งหมดถูกล็อกไว้ (ฝ่ายอยู่ระหว่างอนุมัติหรืออนุมัติแล้ว) ไม่สามารถเพิ่มรายการใหม่ได้ในสถานะนี้` ถือว่าผ่านเช่นกัน) — ให้จดข้อความที่เห็นจริงลง Actual Result
5. ปุ่มถังขยะ `ลบรายการนี้` ของแถวที่เพิ่มเองหายไปในสถานะนี้ ไม่มีทางลบแถวได้
— หมายเหตุสำคัญ —
SIT ตรวจเฉพาะข้อ 1 (ช่องถูกล็อก) ส่วนฟอร์มย่อยแบบล็อก ข้อความปฏิเสธของ `+ เพิ่ม Transaction` และปุ่มลบที่หายไป ไม่เคยถูกทดสอบเลย · ปุ่ม `+ เพิ่ม Transaction` ยังกดเปิดฟอร์มได้ตามปกติในเคสนี้ เพราะ Pornthip ยังมี Cost Center ของฝ่าย Solution Delivery ที่ไม่ได้ถูกล็อก การปฏิเสธจึงเกิดตอนกด `บันทึก` ไม่ใช่ตอนกดเปิดฟอร์ม · ถ้าข้อความจริงบนจอต่างจากที่เขียนไว้ ให้จดข้อความที่เห็นลง Actual Result ก่อน แล้วค่อยตัดสินร่วมกับทีมพัฒนา อย่าเพิ่งฟันธงว่า Fail</t>
        </is>
      </c>
      <c r="N36" s="51" t="inlineStr">
        <is>
          <t>[RETEST บน prd rev 0000036 — 09/09/2026 14:25 ฝ่าย Solution Delivery] กด Submit → ตารางล็อกในหน้าเดิมภายใน 0.8 วินาที โดยไม่ต้องโหลดใหม่: ช่องกรอก 48 → 0 ช่อง ปุ่มฟอร์มย่อยเป็น '🔒 ดูรายละเอียด' ปุ่มลบหาย chip 'Pending · Step 1 (Direct manager)' + 'Submitted — locked for editing until it is rejected' ยอด 30,000.00 เท่าเดิม · [รอบแรก 03:50 ฝ่าย Data &amp; Analytic — ก่อนแก้] หลัง refresh: ช่อง Pending ทุกช่องเป็นข้อความ (ไม่มี input) พิมพ์ทับไม่ได้ · ปุ่มฟอร์มย่อยทุกแถวเปลี่ยนเป็น '🔒 ดูรายละเอียด' tooltip 'อ่านอย่างเดียว — แก้ไม่ได้ในสถานะนี้' · เปิดฟอร์มย่อย Entertainment: หัวเรื่อง 'รายละเอียด Entertainment 🔒' บรรทัดรอง '… · อ่านอย่างเดียว (แก้ไม่ได้)' ช่องทั้ง 42 ช่องกรอกไม่ได้ ปุ่มมีแค่ ✕ และ ปิด (ไม่มี บันทึก / + เพิ่มรายการ / ถังขยะ) · + เพิ่ม Transaction เลือก 10IT011300 + 6210900060 กดบันทึก → ข้อความใต้ฟอร์ม 'ฝ่าย "Data &amp; Analytic" อยู่ระหว่างอนุมัติหรืออนุมัติแล้ว ไม่สามารถเพิ่มรายการใหม่ในฝ่ายนี้ได้ในสถานะนี้' ไม่มีแถวใหม่ · ปุ่ม ลบรายการนี้ หายจากทุกแถว (จาก 5 เหลือ 0)</t>
        </is>
      </c>
      <c r="O36" s="21" t="inlineStr">
        <is>
          <t>Pass</t>
        </is>
      </c>
      <c r="P36" s="22" t="n"/>
      <c r="Q36" s="22" t="n"/>
      <c r="R36" s="23" t="inlineStr">
        <is>
          <t>Pornthip</t>
        </is>
      </c>
      <c r="S36" s="24" t="n">
        <v>46274</v>
      </c>
      <c r="T36" s="51" t="inlineStr">
        <is>
          <t>[AI pre-run 09/09/2026] ผ่าน Expected ทุกข้อ · ข้อสังเกตเดิม (หน้าจอไม่ล็อกทันทีหลัง Submit และไม่แจ้งเมื่อบันทึกไม่ผ่าน) ถูกแก้แล้ว commit 6a9d323 ขึ้น prd rev 0000036 วันที่ 09/09/2026 · RETEST บน prd 14:25 (ฝ่าย Solution Delivery จาก Rejected): กด Submit → ในหน้าเดิมโดยไม่โหลดใหม่ (ตัวแปรเครื่องหมายในหน้าคงอยู่) ช่องกรอก 48 ช่องหายเป็น 0 ภายใน 0.8 วินาที ปุ่มฟอร์มย่อยเป็น '🔒 ดูรายละเอียด' ปุ่มลบหาย chip 'Pending · Step 1 (Direct manager)' ยอด 30,000 เท่าเดิม · จากนั้น Laddawan Reject SD กลับเป็น Rejected 14:26 (เหตุผล 'UAT Round 1 — retest UAT-34 เสร็จ คืนฝ่าย Solution Delivery ให้ Suchanya') เพื่อคืนสถานะให้รอบคน · ข้อความ 'บันทึกไม่สำเร็จ — ฝ่ายนี้ส่งขออนุมัติแล้ว …' ยืนยันด้วย unit test (ล็อกเร็วจนพิมพ์ไม่ทันบนเครื่องจริง)</t>
        </is>
      </c>
    </row>
    <row r="37" ht="228" customHeight="1">
      <c r="A37" s="18" t="inlineStr">
        <is>
          <t>W5</t>
        </is>
      </c>
      <c r="B37" s="18" t="n">
        <v>38</v>
      </c>
      <c r="C37" s="19" t="n">
        <v>35</v>
      </c>
      <c r="D37" s="20" t="inlineStr">
        <is>
          <t>UAT-35</t>
        </is>
      </c>
      <c r="E37" s="20" t="inlineStr">
        <is>
          <t>Submission / Workflow</t>
        </is>
      </c>
      <c r="F37" s="20" t="inlineStr">
        <is>
          <t>Data &amp; Analytic</t>
        </is>
      </c>
      <c r="G37" s="18" t="n"/>
      <c r="H37" s="20" t="inlineStr">
        <is>
          <t>กด Submit ซ้ำสำหรับฝ่ายและปีเดิมไม่ได้</t>
        </is>
      </c>
      <c r="I37" s="19" t="inlineStr">
        <is>
          <t>Medium</t>
        </is>
      </c>
      <c r="J37" s="20" t="inlineStr">
        <is>
          <t>ฝ่าย Data &amp; Analytic ปี `Year 2026` ถูก Submit ไปแล้วในเคส UAT-32 และยังอยู่ระหว่างอนุมัติ ยังไม่ถูกตีกลับ · ล็อกอินด้วยบัญชีผู้กรอก Pornthip</t>
        </is>
      </c>
      <c r="K37" s="20" t="inlineStr">
        <is>
          <t>1. เปิดฝ่าย Data &amp; Analytic และปี `Year 2026` เดิมด้วยบัญชี Pornthip
2. มองหาปุ่ม `Submit` บนแถบอนุมัติ และอ่านข้อความทั้งหมดที่แสดงอยู่ข้าง chip สถานะ แล้วจดลงช่อง Actual Result
3. ถ้ายังมีปุ่ม `Submit` ให้กดได้ ให้ลองกดส่งซ้ำ แล้วอ่านและจดข้อความที่ระบบตอบกลับ (ถ้าไม่มีปุ่มแล้ว ให้ข้ามขั้นตอนนี้ไป)
4. refresh หน้าจอ แล้วตรวจสถานะกับปุ่มอีกครั้ง</t>
        </is>
      </c>
      <c r="L37" s="20" t="inlineStr">
        <is>
          <t>ฝ่าย Data &amp; Analytic · ปี `Year 2026` (FY2027) · สถานะปัจจุบัน = `Pending · Step 1 (Direct manager)`</t>
        </is>
      </c>
      <c r="M37" s="20" t="inlineStr">
        <is>
          <t>1. ปุ่ม `Submit` ไม่ปรากฏให้กดอีก และข้าง chip สถานะแสดงข้อความ `Submitted — locked for editing until it is rejected` เป็นเหตุผลว่าทำไมปุ่มถึงหายไป
2. ข้อความข้าง chip มีบรรทัดเดียวเท่านั้น — ระบบตั้งใจไม่แสดงประโยค `This department is already in approval or approved, so it cannot be submitted again.` ซ้ำอีกในสถานะกำลังรออนุมัติ เพราะบรรทัดแรกบอกเรื่องเดียวกันแต่ชัดกว่า · ประโยคนี้จะไปโผล่ก็ต่อเมื่อฝ่ายอนุมัติครบทุกขั้นแล้ว (`Approved`) การไม่เห็นมันตอนนี้จึงไม่ใช่ข้อผิดพลาด
3. ไม่มีวิธีใดที่ทำให้ส่งงบของฝ่าย+ปีเดิมซ้ำได้อีก และหลัง refresh สถานะยังเป็น `Pending · Step 1 (Direct manager)` เหมือนเดิม ไม่เกิดรายการขออนุมัติซ้ำซ้อน
— หมายเหตุสำคัญ —
SIT บันทึกผลไว้สั้น ๆ ว่า "ถ้ากดส่งไปแล้ว ส่งเพิ่มอีกไม่ได้" รอบนี้ให้จดข้อความที่เห็นจริงบนแถบอนุมัติลงช่อง Actual Result ด้วย</t>
        </is>
      </c>
      <c r="N37" s="51" t="inlineStr">
        <is>
          <t>แถบอนุมัติหลัง Submit: ไม่มีปุ่ม Submit ให้กด · ข้างชิป 'Pending · Step 1 (Direct manager)' มีข้อความบรรทัดเดียว 'Submitted — locked for editing until it is rejected' ไม่มีประโยค 'This department is already in approval…' · refresh แล้วสถานะยังเป็น Pending · Step 1 (Direct manager) ปุ่มยังไม่มี · DB: approval_status = PENDING_APPROVER1 แถวเดียว ไม่มีรายการซ้ำ</t>
        </is>
      </c>
      <c r="O37" s="21" t="inlineStr">
        <is>
          <t>Pass</t>
        </is>
      </c>
      <c r="P37" s="22" t="n"/>
      <c r="Q37" s="22" t="n"/>
      <c r="R37" s="23" t="inlineStr">
        <is>
          <t>Pornthip</t>
        </is>
      </c>
      <c r="S37" s="24" t="n">
        <v>46274</v>
      </c>
      <c r="T37" s="51" t="inlineStr">
        <is>
          <t>[AI pre-run 09/09/2026] ผ่าน Expected ข้อ 1-3</t>
        </is>
      </c>
    </row>
    <row r="38" ht="620" customHeight="1">
      <c r="A38" s="18" t="inlineStr">
        <is>
          <t>W5</t>
        </is>
      </c>
      <c r="B38" s="18" t="n">
        <v>39</v>
      </c>
      <c r="C38" s="19" t="n">
        <v>36</v>
      </c>
      <c r="D38" s="20" t="inlineStr">
        <is>
          <t>UAT-36</t>
        </is>
      </c>
      <c r="E38" s="20" t="inlineStr">
        <is>
          <t>Submission / Workflow</t>
        </is>
      </c>
      <c r="F38" s="20" t="inlineStr">
        <is>
          <t>ทั้งสองฝ่าย</t>
        </is>
      </c>
      <c r="G38" s="18" t="n"/>
      <c r="H38" s="20" t="inlineStr">
        <is>
          <t>ส่งงบแยกทีละฝ่าย: กรอกยอดให้ฝ่าย Solution Delivery (0 แถวในปีนี้) เป็นครั้งแรก แล้วส่งเข้าอนุมัติ ตรวจว่าฝ่าย Data &amp; Analytic ที่ส่งไปก่อนหน้าไม่ถูกกระทบเลย</t>
        </is>
      </c>
      <c r="I38" s="19" t="inlineStr">
        <is>
          <t>High</t>
        </is>
      </c>
      <c r="J38" s="20" t="inlineStr">
        <is>
          <t>ล็อกอินด้วย Pornthip (pornthipp@chememan.com) ซึ่งเป็นผู้กรอกของทั้งฝ่าย Data &amp; Analytic และฝ่าย Solution Delivery — สิทธิ์นี้ใช้งานได้จริงบนระบบจริงแล้ว ตรวจยืนยันเมื่อ 2026-09-06 (ถ้าตัวเลือกฝ่ายขึ้นมาแค่ฝ่ายเดียว ให้หยุดและแจ้งทีมทันที อย่าแก้ไฟล์ต้นทางเอง) · ฝ่าย Data &amp; Analytic ปี `Year 2026` ถูก Submit ไปแล้วในเคส UAT-32 · **ฝ่าย Solution Delivery ปีเดียวกันมี 0 แถวงบ ไม่เคยมีใครกรอกอะไรเข้าฝ่ายนี้มาก่อนเลยตั้งแต่เปิดปีงบประมาณ 2027 — เคสนี้คือการเขียนข้อมูลชุดแรกสุดของฝ่ายนี้บนระบบจริง** · **ผู้ที่กด Submit ของฝ่าย Solution Delivery ต้องเป็น Pornthip เท่านั้น** เพราะผู้อนุมัติขั้นที่ 1 คำนวณจากหัวหน้าสายตรงของผู้ส่ง — Suchanya (ผู้กรอกตัวจริงของฝ่ายนี้) และ Laddawan ต่างก็มีหัวหน้าคนเดียวกันคือ **อาทิตย์ สาหร่าย (arthids@chememan.com)** ซึ่งเป็นพนักงานจริงนอกทีมทดสอบ 5 คน ถ้าคนอื่นนอกจาก Pornthip เป็นผู้กด Submit ฝ่ายนี้ อาทิตย์จะกลายเป็นผู้อนุมัติขั้นที่ 1 ตัวจริงและได้รับอีเมลขออนุมัติจริงทันทีโดยไม่มีป้ายกำกับว่าเป็นการทดสอบ — มีเพียง Pornthip เท่านั้นที่ส่งแล้วได้ Laddawan เป็นผู้อนุมัติขั้นที่ 1 · หลังกด Submit ในเคสนี้ ฝ่าย Solution Delivery จะถูกล็อกอ่านอย่างเดียวจนกว่าจะถูกตีกลับ — **Suchanya จะแก้ไขงบของฝ่ายตัวเองไม่ได้เลยตั้งแต่เคสนี้จนถึงเคส UAT-43** (ซึ่งจะตีกลับคืนให้ในตอนท้าย) ต้องแจ้ง Suchanya ล่วงหน้าก่อนเริ่มรอบตามคำเตือนในหน้า 1 ของไฟล์นี้</t>
        </is>
      </c>
      <c r="K38" s="20" t="inlineStr">
        <is>
          <t>1. ล็อกอินด้วย Pornthip แล้วเปิดตัวเลือกฝ่ายบน toolbar
2. อ่านสิ่งที่แสดงในแต่ละบรรทัดของฝ่าย (ชื่อฝ่าย · ป้ายสถานะถ้ามี · จำนวน Cost Center) แล้วจดลงช่อง Actual Result
3. เลือกฝ่าย Data &amp; Analytic แล้วดู chip สถานะบนแถบอนุมัติ (ต้องเป็น `Pending · Step 1 (Direct manager)` อยู่แล้วจากเคส UAT-32)
4. สลับไปฝ่าย Solution Delivery ดู chip สถานะ (ต้องเป็น `Draft — not submitted`) และดูว่าตารางว่างเปล่า 0 แถวจริง
5. กด `+ เพิ่ม Transaction` เลือก Cost Center 10IT012000 และเลือก GL ปกติ (ไม่ใช่ฟอร์มย่อย) 2 รายการตามช่อง Test Data กด `บันทึก` เพื่อสร้างแถวทั้ง 2 แล้วพิมพ์ยอดลงในเดือนเดียวกันของแต่ละแถวตามช่อง Test Data คลิกออกจากช่อง แล้ว refresh หน้าจอ ดูว่าค่ายังอยู่ครบทั้ง 2 แถว จดยอดรวมทั้งปีของฝ่ายนี้ลงช่อง Actual Result
6. กดปุ่ม `Submit` ของฝ่าย Solution Delivery แล้วยืนยันในกล่องยืนยัน — ผู้กดต้องเป็น Pornthip เท่านั้นตามที่ระบุใน Preconditions
7. อ่าน chip สถานะใหม่ของฝ่าย Solution Delivery จดลงช่อง Actual Result
8. สลับกลับไปดูฝ่าย Data &amp; Analytic อีกครั้ง เทียบ chip สถานะ ยอด และสถานะอ่านอย่างเดียวกับก่อนหน้านี้ ว่ายังเหมือนเดิมทุกประการ
9. (ทำได้ก็ดี ไม่บังคับ) ถ้า Laddawan ล็อกอินอยู่อีกเครื่อง ให้เธอเปิดตัวเลือกฝ่ายแล้วดูว่าทั้งฝ่าย Data &amp; Analytic และฝ่าย Solution Delivery ติดป้าย `Pending` พร้อมกันหรือไม่ แล้วเปิดกล่องจดหมายของตัวเองตรวจว่าได้รับอีเมล "รอการอนุมัติ...Solution Delivery..." หรือยัง</t>
        </is>
      </c>
      <c r="L38" s="20" t="inlineStr">
        <is>
          <t>ฝ่าย Data &amp; Analytic (Cost Center 10IT011300, 10IT013000 — ส่งแล้ว) · ฝ่าย Solution Delivery (Cost Center 10IT012000 — ยังไม่ส่ง ก่อนเคสนี้มี 0 แถว) · ปีบนจอ `Year 2026` = ปีงบ FY2027 · แถวที่กรอกให้ฝ่าย Solution Delivery: 2 แถว GL ปกติ (ไม่ใช่ฟอร์มย่อย) ยอดกลม ๆ ลงเดือนเดียวกัน เช่น 10,000 และ 20,000 (รวม 30,000 พอดี) · ผู้ส่งฝ่าย Solution Delivery ต้องเป็น Pornthip เท่านั้น</t>
        </is>
      </c>
      <c r="M38" s="20" t="inlineStr">
        <is>
          <t>1. ตัวเลือกฝ่ายแสดงทั้ง 2 ฝ่ายพร้อมจำนวน Cost Center ต่อฝ่าย และ **ไม่มี** ป้าย `Pending` ที่ฝ่ายใดเลยบนจอของผู้กรอก — ป้าย `Pending` ออกแบบไว้ให้ขึ้นเฉพาะกับคนที่ต้องอนุมัติฝ่ายนั้นอยู่ ณ ตอนนั้น ผู้กรอกจึงไม่เห็นป้ายนี้บนฝ่ายที่ตัวเองส่ง ถือว่าถูกต้อง ไม่ใช่ข้อผิดพลาด
2. ฝ่าย Data &amp; Analytic chip = `Pending · Step 1 (Direct manager)` และตารางแก้ไขไม่ได้ (ตั้งแต่ก่อนเคสนี้)
3. ก่อนกรอก ฝ่าย Solution Delivery chip = `Draft — not submitted` และตารางว่าง 0 แถว — ยืนยันข้อเท็จจริงว่าฝ่ายนี้ไม่เคยมีข้อมูลมาก่อนในปีนี้
4. หลังกรอก 2 แถว (ข้อ 5) ยอดรวมทั้งปีของฝ่าย Solution Delivery ต้องเท่ากับผลรวมที่พิมพ์พอดี (เช่น 10,000+20,000 = 30,000) ไม่มีคลาดเคลื่อน และค่ายังอยู่ครบหลัง refresh
5. หลังกด `Submit` (ข้อ 6) chip ของฝ่าย Solution Delivery เปลี่ยนเป็น `Pending · Step 1 (Direct manager)` เหมือนฝ่าย Data &amp; Analytic ตารางของฝ่ายนี้กลายเป็นอ่านอย่างเดียวทันที
6. ตลอดข้อ 5–7 ฝ่าย Data &amp; Analytic (chip · ยอด · สถานะอ่านอย่างเดียว) ไม่เปลี่ยนแปลงเลยแม้แต่น้อย — พิสูจน์ว่าการส่งแต่ละฝ่ายเป็นอิสระต่อกันจริง ไม่ใช่แค่คำอธิบาย
7. ผู้อนุมัติขั้นที่ 1 ที่ระบบคำนวณให้ฝ่าย Solution Delivery คือ **Laddawan** (เพราะ Pornthip เป็นผู้ส่ง และหัวหน้าสายตรงของเธอคือ Laddawan) — Laddawan ได้รับอีเมล "รอการอนุมัติ งบประมาณของฝ่าย Solution Delivery ปีงบประมาณ 2027" ทันทีที่กด Submit **ไม่มีอีเมลฉบับใดส่งถึงอาทิตย์ (arthids@chememan.com) เลยในเคสนี้**
8. (ข้อ 9 ถ้าทำได้) บนจอของ Laddawan ตัวเลือกฝ่ายติดป้าย `Pending` ทั้งฝ่าย Data &amp; Analytic และฝ่าย Solution Delivery พร้อมกัน และกล่องจดหมายของเธอมีอีเมลใหม่จากฝ่าย Solution Delivery
— หมายเหตุสำคัญ —
ยอด 30,000 ที่กรอกในเคสนี้จะกลายเป็นข้อมูลงบจริงของฝ่าย Solution Delivery ปีงบประมาณ 2027 บนระบบจริง (เหมือนที่ฝ่าย Data &amp; Analytic มีข้อมูลทดสอบค้างอยู่แล้วจากรอบก่อนหน้า) รอบนี้ไม่ได้ลบยอดออกหลังทดสอบ มีเพียงสถานะอนุมัติเท่านั้นที่จะถูกคืนกลับในเคส UAT-43 · ฝ่าย Solution Delivery เป็นฝ่ายจริงของ Suchanya (suchanyay@chememan.com) เพื่อนร่วมงานตัวจริง ตั้งแต่เคสนี้กด Submit แล้ว เธอจะแก้ไขตารางของฝ่ายตัวเองไม่ได้จนกว่าเคส UAT-43 จะตีกลับคืนให้ (ดูคำเตือนในหน้า 1) · ป้าย `Pending` ในตัวเลือกฝ่ายเป็นป้ายของผู้อนุมัติ ไม่ใช่ป้ายบอกว่าฝ่ายนี้ส่งแล้ว จึงพิสูจน์เรื่อง "ส่งแยกฝ่าย" ด้วย chip สถานะเป็นหลัก · **ห้ามให้ใครนอกจาก Pornthip เป็นผู้กด Submit ของฝ่าย Solution Delivery** มิฉะนั้นผู้อนุมัติขั้นที่ 1 จะกลายเป็นอาทิตย์ทันทีและย้อนกลับไม่ได้ (ต้องรอให้ตีกลับในเคส UAT-43 ก่อนจึงจะส่งใหม่ได้)</t>
        </is>
      </c>
      <c r="N38" s="51" t="inlineStr">
        <is>
          <t>ตัวเลือกฝ่ายของ Pornthip: 'Data &amp; Analytic 2 CC' และ 'Solution Delivery 1 CC' — ไม่มีป้าย Pending ที่ฝ่ายใด (ผู้กรอกไม่เห็นป้ายนี้) · Data &amp; Analytic chip = Pending · Step 1 (Direct manager) · สลับไป Solution Delivery: chip 'Draft — not submitted' + 'This department has no budget data yet, so it cannot be submitted.' ตารางมีแถว GL ของ 10IT012000 จากชั้น SAP แต่ Pending เป็น 0 ทุกแถว · GL 6210900060 และ 6211100110 มีแถวอยู่แล้ว (ระบบสร้างจาก SAP) การกด + เพิ่ม Transaction ซ้ำจึงติด 'รายการนี้มีอยู่ในตารางแล้ว' → กรอกลงแถวเดิมแทน: ม.ค. 10,000 และ 20,000 · refresh แล้วค่ายังอยู่ รวมทั้งปีฝ่าย = 30,000.00 · กด Submit (ผู้กด = pornthipp ยืนยันจาก /me) → กล่องยืนยัน 'Submit the budget of department "Solution Delivery" for FY 2027? / 8 rows in 1 cost center(s) — this submits the WHOLE department. You cannot edit it until it is rejected.' → OK → chip 'Pending · Step 1 (Direct manager)' + 'Submitted — locked…' ปุ่ม Submit หาย · สลับกลับ Data &amp; Analytic: chip เดิม Pending · Step 1, รวม 416,900.00, ช่องกรอก 0 ปุ่มลบ 0 เหมือนเดิมทุกประการ</t>
        </is>
      </c>
      <c r="O38" s="21" t="inlineStr">
        <is>
          <t>Pass</t>
        </is>
      </c>
      <c r="P38" s="22" t="n"/>
      <c r="Q38" s="22" t="n"/>
      <c r="R38" s="23" t="inlineStr">
        <is>
          <t>Pornthip → Laddawan (ไม่บังคับ)</t>
        </is>
      </c>
      <c r="S38" s="24" t="n">
        <v>46274</v>
      </c>
      <c r="T38" s="51" t="inlineStr">
        <is>
          <t>[AI pre-run 09/09/2026] ผ่าน Expected ที่ตรวจได้ทุกข้อ · ข้อ 9 (Laddawan ดูตัวเลือกฝ่ายอีกเครื่อง) ไม่บังคับ — จะเห็นตอน UAT-43 · เบี่ยงเบน: ไม่ได้ 'สร้างแถวใหม่' เพราะแถวของ GL ทั้งสองมีอยู่แล้วจากชั้น SAP (ฝ่ายไม่ได้ว่างเปล่าอย่างที่ preconditions เขียน — มี 0 แถวใน DB แต่จอแสดงแถว SAP) ควรแก้ข้อความเคส · Suchanya ถูกล็อกจากฝ่ายตัวเองตั้งแต่ตอนนี้จนถึง UAT-43</t>
        </is>
      </c>
    </row>
    <row r="39" ht="432" customHeight="1">
      <c r="A39" s="18" t="inlineStr">
        <is>
          <t>W6</t>
        </is>
      </c>
      <c r="B39" s="18" t="n">
        <v>40</v>
      </c>
      <c r="C39" s="19" t="n">
        <v>37</v>
      </c>
      <c r="D39" s="20" t="inlineStr">
        <is>
          <t>UAT-37</t>
        </is>
      </c>
      <c r="E39" s="20" t="inlineStr">
        <is>
          <t>Approval</t>
        </is>
      </c>
      <c r="F39" s="20" t="inlineStr">
        <is>
          <t>Data &amp; Analytic</t>
        </is>
      </c>
      <c r="G39" s="18" t="n"/>
      <c r="H39" s="20" t="inlineStr">
        <is>
          <t>ผู้อนุมัติขั้นที่ 1 เปิดฝ่ายที่รออนุมัติ แล้วตรวจหน้าจออนุมัติทั้งหน้าในครั้งเดียว (รายละเอียดงบ · ชื่อปุ่ม · chip สถานะ · ป้ายในตัวเลือกฝ่าย)</t>
        </is>
      </c>
      <c r="I39" s="19" t="inlineStr">
        <is>
          <t>High</t>
        </is>
      </c>
      <c r="J39" s="20" t="inlineStr">
        <is>
          <t>Pornthip ส่งงบของฝ่าย Data &amp; Analytic ปีงบประมาณ 2027 เข้าอนุมัติเรียบร้อยแล้ว (ทำเคส UAT-32 ผ่านมาก่อน) และสถานะยังค้างอยู่ที่ขั้นที่ 1 · ผู้ทดสอบล็อกอินด้วยบัญชี Laddawan (laddawank@chememan.com) ซึ่งเป็นผู้อนุมัติขั้นที่ 1 ของฝ่ายนี้ · ยังไม่มีใครกดอนุมัติหรือตีกลับงบชุดนี้</t>
        </is>
      </c>
      <c r="K39" s="20" t="inlineStr">
        <is>
          <t>1. เปิด URL ของระบบ แล้วล็อกอินด้วยบัญชี Laddawan ที่หน้า Microsoft
2. เปิดตัวเลือกฝ่าย (Dept picker) บนแถบเครื่องมือ แล้วอ่านป้ายที่ติดอยู่กับฝ่าย Data &amp; Analytic ก่อนกดเลือก จดข้อความบนป้ายลงช่อง Actual Result
3. เลือกฝ่าย Data &amp; Analytic โดยให้ปีบนจอเป็น Year 2026
4. ไล่อ่านตารางงบที่ Pornthip ส่งมา เทียบตัวเลขกับที่จดไว้ตอนส่งในเคส UAT-33 และลองคลิกในช่องเดือนหนึ่งช่องเพื่อดูว่าพิมพ์แก้ได้หรือไม่
5. ดูแถบอนุมัติ แล้วอ่านชื่อปุ่มทั้งสองปุ่มตามที่ปรากฏบนจอ จดลงช่อง Actual Result
6. อ่านข้อความบน chip สถานะของแถบอนุมัติ จดลงช่อง Actual Result
7. บันทึกผลให้ครบทุกข้อ แล้วออกจากเคสนี้โดยไม่กดปุ่มใด ๆ</t>
        </is>
      </c>
      <c r="L39" s="20" t="inlineStr">
        <is>
          <t>ผู้ใช้: Laddawan (laddawank@chememan.com) — ผู้อนุมัติขั้นที่ 1 · ฝ่าย: Data &amp; Analytic · ปีบนจอ: Year 2026 (คือปีงบประมาณ 2027)</t>
        </is>
      </c>
      <c r="M39" s="20" t="inlineStr">
        <is>
          <t>⚠ เคสรวม (merged) — 1 แถวแต่มีหลายข้อที่ต้องตรวจ อ่านให้ครบทุกข้อก่อนตัดสิน Pass
1) เห็นรายละเอียดงบครบถ้วนตรงกับที่ผู้กรอกกรอกและส่งมา และตัวเลขทุกช่องเป็นแบบอ่านอย่างเดียว พิมพ์แก้ไม่ได้
2) ปุ่มบนแถบอนุมัติเป็นภาษาอังกฤษ คือ `Reject` และ `Approve` (ไม่ใช่คำไทย "ตีกลับ" / "อนุมัติ" แบบที่ SIT เคยเห็น)
3) chip สถานะแสดงข้อความ `Pending · Step 1 (Direct manager)`
4) ป้ายที่ติดกับฝ่ายในตัวเลือกฝ่ายเป็นคำว่า `Pending` (ไม่ใช่ "รออนุมัติ")
— หมายเหตุสำคัญ —
ห้ามกดปุ่ม `Approve` หรือ `Reject` ในเคสนี้ เพราะเป็นเคสอ่านอย่างเดียว การกดจะเลื่อนสถานะจริงและทำให้ลำดับเคสในระลอกนี้เสีย · เคสนี้รวม 3 เคสเดิมไว้ในแถวเดียว ต้องอ่าน Expected Result ให้ครบทั้ง 4 ข้อก่อนตัดสิน Pass · หน้าจออนุมัติแสดง chip สถานะเพียงอันเดียวเสมอ คือ chip ของขั้นที่งบกำลังค้างรออยู่ ณ ตอนนั้น ระบบไม่ได้แสดง chip ของขั้นที่ 2 และขั้นที่ 3 ล่วงหน้า ถ้าหาไม่เจอไม่ใช่ข้อผิดพลาด — ชื่อและตำแหน่งของผู้อนุมัติขั้นที่ 2 และขั้นที่ 3 ย้ายไปตรวจในเคส UAT-40 ข้อ 1 และข้อ 3 ตอนที่งบเลื่อนไปถึงขั้นนั้นจริงและ chip แสดงชื่อเหล่านั้นออกมาให้เห็น · **หยุด — กลับไปทำ UAT-51 ข้อ 11 ตอนนี้** (ให้ผู้อนุมัติ Laddawan ดูสีและความชัดของปุ่ม `Approve` / `Reject` กับป้ายสถานะบนหน้าจอนี้ 1 ครั้ง แล้วกลับไปบันทึกผลลงช่อง Actual Result ของเคส UAT-51 ข้อ 11 — ไม่ต้องกดปุ่มใด ๆ) เพราะนี่คือช่วงเดียวในรอบทดสอบที่ฝ่ายยังค้างอนุมัติอยู่จริงให้ดู ถึงตำแหน่งของ UAT-51 (ท้ายสุดของรอบ) ฝ่าย Data &amp; Analytic จะเป็น `Approved` แล้ว และฝ่าย Solution Delivery ก็ถูกตีกลับคืนสถานะ `Rejected` ไปแล้วตั้งแต่เคส UAT-43 (อนุมัติขั้นที่ 1 แล้วตีกลับ ไม่ปล่อยให้อนุมัติต่อจนจบ) จึงไม่มีฝ่ายใดค้างอยู่ในสถานะ `Pending` ให้ดูอีกเลย</t>
        </is>
      </c>
      <c r="N39" s="51" t="inlineStr">
        <is>
          <t>ตัวเลือกฝ่ายของ Laddawan: ป้ายที่ Data &amp; Analytic = 'Pending' (อังกฤษ) · เลือก Data &amp; Analytic Year 2026: ตารางแสดงงบที่ Pornthip ส่ง ครบ 10 แถว รวม Pending 416,900.00 ตรงกับ UAT-33 · ช่องเดือนทุกช่องเป็นข้อความอ่านอย่างเดียว (0 input) · แถบอนุมัติมีปุ่ม 'Reject' และ 'Approve' (อังกฤษ) · chip 'Pending · Step 1 (Direct manager)' · ไม่ได้กดปุ่มใด</t>
        </is>
      </c>
      <c r="O39" s="21" t="inlineStr">
        <is>
          <t>Pass</t>
        </is>
      </c>
      <c r="P39" s="22" t="n"/>
      <c r="Q39" s="22" t="n"/>
      <c r="R39" s="23" t="inlineStr">
        <is>
          <t>Laddawan</t>
        </is>
      </c>
      <c r="S39" s="24" t="n">
        <v>46274</v>
      </c>
      <c r="T39" s="51" t="inlineStr">
        <is>
          <t>[AI pre-run 09/09/2026] ผ่าน Expected ข้อ 1-4 (สังเกตในสถานะ PENDING_APPROVER1 เดียวกับ UAT-03) · UAT-51 ข้อ 11 (สีปุ่มอ่านชัดไหม) เป็นการตัดสินด้วยตาคน — มีภาพหน้าจอให้แล้ว</t>
        </is>
      </c>
    </row>
    <row r="40" ht="264" customHeight="1">
      <c r="A40" s="18" t="inlineStr">
        <is>
          <t>W6</t>
        </is>
      </c>
      <c r="B40" s="18" t="n">
        <v>43</v>
      </c>
      <c r="C40" s="19" t="n">
        <v>38</v>
      </c>
      <c r="D40" s="20" t="inlineStr">
        <is>
          <t>UAT-38</t>
        </is>
      </c>
      <c r="E40" s="20" t="inlineStr">
        <is>
          <t>Approval</t>
        </is>
      </c>
      <c r="F40" s="20" t="inlineStr">
        <is>
          <t>Data &amp; Analytic</t>
        </is>
      </c>
      <c r="G40" s="18" t="n"/>
      <c r="H40" s="20" t="inlineStr">
        <is>
          <t>ผู้อนุมัติขั้นที่ 1 กด `Reject` แล้วตรวจกล่องเหตุผล `Reject reason (required)` ว่าบังคับกรอกจริง และปุ่ม `Confirm Reject` กดไม่ได้จนกว่าจะพิมพ์เหตุผล</t>
        </is>
      </c>
      <c r="I40" s="19" t="inlineStr">
        <is>
          <t>High</t>
        </is>
      </c>
      <c r="J40" s="20" t="inlineStr">
        <is>
          <t>งบของฝ่าย Data &amp; Analytic ปีงบประมาณ 2027 ยังค้างอยู่ที่สถานะ `Pending · Step 1 (Direct manager)` · ผู้ทดสอบล็อกอินด้วยบัญชี Laddawan และเปิดฝ่ายนั้นค้างไว้บนหน้าจอแล้ว · แจ้ง Pornthip ล่วงหน้าว่ากำลังจะตีกลับ เพราะเธอจะได้รับอีเมลจริงจากระบบ</t>
        </is>
      </c>
      <c r="K40" s="20" t="inlineStr">
        <is>
          <t>1. กดปุ่ม `Reject` บนแถบอนุมัติ
2. อ่านชื่อ/ป้ายกำกับของช่องกรอกเหตุผลที่เปิดขึ้นมา และดูว่ามีปุ่มอะไรบ้างในกล่องนั้น จดลงช่อง Actual Result
3. ยังไม่พิมพ์อะไรลงในช่องเหตุผล แล้วลองกดปุ่ม `Confirm Reject` ดูว่ากดได้หรือไม่
4. กดปุ่ม `Cancel` เพื่อปิดกล่อง แล้วตรวจว่าสถานะยังไม่เปลี่ยน จากนั้นกด `Reject` เปิดกล่องขึ้นมาใหม่
5. พิมพ์เหตุผลตามช่อง Test Data ลงในช่องเหตุผล แล้วดูปุ่ม `Confirm Reject` อีกครั้งว่ากดได้แล้วหรือยัง
6. กด `Confirm Reject` เพื่อยืนยันการตีกลับ แล้ว **จดเวลาที่กดปุ่มนี้ (ชั่วโมง:นาที) ลงช่อง Actual Result ทันที** — เคส UAT-48 ต้องใช้เวลานี้แยกอีเมลตีกลับสองฉบับที่หัวข้อเหมือนกัน (อีกฉบับเกิดจากเคส UAT-41)
7. อ่านสถานะที่แสดงหลังตีกลับ และตรวจว่าเหตุผลที่พิมพ์ไว้ยังแสดงอยู่ จดทั้งสองอย่างลงช่อง Actual Result</t>
        </is>
      </c>
      <c r="L40" s="20" t="inlineStr">
        <is>
          <t>เหตุผลที่ใช้ตีกลับ: `UAT Round 1 — ขอทบทวนตัวเลขหมวดค่าเดินทางใหม่` · ผู้ตีกลับ: Laddawan (ผู้อนุมัติขั้นที่ 1) · ฝ่าย Data &amp; Analytic ปีงบประมาณ 2027</t>
        </is>
      </c>
      <c r="M40" s="20" t="inlineStr">
        <is>
          <t>1) กล่อง/ช่องกรอกเหตุผลมีป้ายกำกับภาษาอังกฤษว่า `Reject reason (required)`
2) ขณะที่ช่องเหตุผลยังว่าง ปุ่ม `Confirm Reject` ถูกปิดใช้งาน กดไม่ได้ และระบบไม่ตีกลับให้
3) ในกล่องมีปุ่ม `Cancel` ให้ยกเลิก และเมื่อกดแล้วกล่องปิดโดยไม่เกิดการตีกลับ สถานะยังเป็น `Pending · Step 1 (Direct manager)` เหมือนเดิม
4) เมื่อพิมพ์เหตุผลลงไปแล้ว ปุ่ม `Confirm Reject` กดได้
5) เมื่อยืนยันแล้ว chip สถานะเปลี่ยนเป็นคำภาษาอังกฤษว่า `Rejected` และงบถูกส่งกลับไปให้ผู้กรอกแก้ไข
6) ใต้ chip มีบรรทัดสีแดงภาษาอังกฤษขึ้นต้นด้วย `Reject reason:` ตามด้วยเหตุผลที่พิมพ์ไว้ ตรงกันทุกตัวอักษร
— หมายเหตุสำคัญ —
SIT TC-022 มีข้อย่อยว่า "ถ้าส่งคำสั่งตีกลับโดยไม่มีเหตุผลเข้าระบบโดยตรง เซิร์ฟเวอร์ปฏิเสธ" — ข้อนั้นต้องส่งคำสั่งเข้าระบบหลังบ้านโดยตรง ไม่ใช่ผ่านหน้าจอ จึงไม่อยู่ในขอบเขต UAT รอบนี้ ให้ตรวจเฉพาะด่านหน้าจอ · การตีกลับส่งอีเมลจริงถึงผู้กรอก เนื้อหาอีเมลตรวจในเคส UAT-48</t>
        </is>
      </c>
      <c r="N40" s="51" t="inlineStr">
        <is>
          <t>Laddawan เปิด Data &amp; Analytic: chip 'Pending · Step 1 (Direct manager)' + ข้อความ 'Submitted — locked for editing until it is rejected' ปุ่ม Reject / Approve · กด Reject → กล่อง 'REJECT REASON (REQUIRED)' ช่องพิมพ์เหตุผล ปุ่ม Cancel และ Confirm Reject (ปิดใช้งานขณะช่องว่าง) · พิมพ์เหตุผล 'UAT Round 1 — ขอทบทวนตัวเลขหมวดค่าเดินทางใหม่' → Confirm Reject เปิดใช้ → กดยืนยัน 03:04 → chip เปลี่ยนเป็น 'Rejected' บรรทัดใต้ chip 'Reject reason: UAT Round 1 — ขอทบทวนตัวเลขหมวดค่าเดินทางใหม่' ปุ่ม Reject/Approve หายไป · ยอดเงินไม่เปลี่ยน (6211100110 ปี = 135,500.00, รวม 416,900.00) · สลับเป็น Pornthip: เห็น Rejected + เหตุผลบรรทัดเดียวกันตรงทุกตัวอักษร ช่องเดือน 36 ช่องกลับมาพิมพ์ได้ ปุ่ม Submit กลับมา</t>
        </is>
      </c>
      <c r="O40" s="21" t="inlineStr">
        <is>
          <t>Pass</t>
        </is>
      </c>
      <c r="P40" s="22" t="n"/>
      <c r="Q40" s="22" t="n"/>
      <c r="R40" s="23" t="inlineStr">
        <is>
          <t>Laddawan</t>
        </is>
      </c>
      <c r="S40" s="24" t="n">
        <v>46274</v>
      </c>
      <c r="T40" s="51" t="inlineStr">
        <is>
          <t>[AI pre-run 09/09/2026] ผ่านทุกข้อที่ตรวจจากหน้าจอ · อีเมลตีกลับถึง Pornthip (cc Laddawan) ต้องให้คนเปิดกล่องจดหมายดู · 📧 อ้างอิงอีเมล (ทุกฉบับผู้ส่ง = CMAN_PowerBI cmanpowerbi@chememan.com · วันที่ = พุธ 9 ก.ย. 2026 · ชื่อ jakkaritw ไม่อยู่ทั้ง To/CC จึงต้องเปิดกล่อง cmanpowerbi หรือกล่องผู้รับ) — Wed 2:58 AM — ถูกตีกลับ (Data &amp; Analytic) → pornthipp · cc laddawank</t>
        </is>
      </c>
    </row>
    <row r="41" ht="192" customHeight="1">
      <c r="A41" s="18" t="inlineStr">
        <is>
          <t>W6</t>
        </is>
      </c>
      <c r="B41" s="18" t="n">
        <v>44</v>
      </c>
      <c r="C41" s="19" t="n">
        <v>39</v>
      </c>
      <c r="D41" s="20" t="inlineStr">
        <is>
          <t>UAT-39</t>
        </is>
      </c>
      <c r="E41" s="20" t="inlineStr">
        <is>
          <t>Approval</t>
        </is>
      </c>
      <c r="F41" s="20" t="inlineStr">
        <is>
          <t>Data &amp; Analytic</t>
        </is>
      </c>
      <c r="G41" s="18" t="n"/>
      <c r="H41" s="20" t="inlineStr">
        <is>
          <t>ผู้กรอกเห็นเหตุผลที่ถูกตีกลับ แก้ไขตัวเลขได้อีกครั้ง แล้วส่งใหม่จนสถานะกลับไปเป็น `Pending · Step 1 (Direct manager)`</t>
        </is>
      </c>
      <c r="I41" s="19" t="inlineStr">
        <is>
          <t>High</t>
        </is>
      </c>
      <c r="J41" s="20" t="inlineStr">
        <is>
          <t>งบของฝ่าย Data &amp; Analytic ปีงบประมาณ 2027 ถูกตีกลับมาแล้วจากเคส UAT-38 และยังอยู่ในสถานะถูกตีกลับ · ผู้ทดสอบล็อกอินด้วยบัญชี Pornthip (pornthipp@chememan.com) ซึ่งเป็นผู้กรอกงบของฝ่ายนี้</t>
        </is>
      </c>
      <c r="K41" s="20" t="inlineStr">
        <is>
          <t>1. ล็อกอินด้วยบัญชี Pornthip แล้วเลือกฝ่าย Data &amp; Analytic ปีบนจอ Year 2026
2. อ่านบรรทัดเหตุผลที่ถูกตีกลับซึ่งแสดงอยู่ใต้ chip สถานะบนหน้าจอ แล้วจดข้อความทั้งบรรทัดลงช่อง Actual Result
3. คลิกในช่องเดือนหนึ่งช่องของ GL ที่เหตุผลอ้างถึง ตรวจว่าพิมพ์แก้ได้จริง
4. แก้ยอดตามช่อง Test Data แล้วคลิกออกจากช่องเพื่อให้ระบบบันทึกอัตโนมัติ
5. กดปุ่ม Submit เพื่อส่งขออนุมัติใหม่ แล้วยืนยันในกล่องยืนยัน
6. อ่าน chip สถานะหลังส่งใหม่ แล้วจดลงช่อง Actual Result</t>
        </is>
      </c>
      <c r="L41" s="20" t="inlineStr">
        <is>
          <t>แก้ยอดเดือนใดเดือนหนึ่งของ GL ที่เหตุผลอ้างถึง เช่น เปลี่ยนจาก 5,000 เป็น 4,000 (ต้องเป็นจำนวนลงท้ายหลักร้อยและไม่ต่ำกว่า 100 ตามกติกาช่องกรอกเงิน) · จดยอดก่อนแก้และหลังแก้ทั้งสองค่า</t>
        </is>
      </c>
      <c r="M41" s="20" t="inlineStr">
        <is>
          <t>1) chip สถานะที่ผู้กรอกเห็นตอนเปิดเข้ามาคือคำว่า `Rejected` และใต้ chip มีบรรทัดภาษาอังกฤษขึ้นต้นด้วย `Reject reason:` ตามด้วยเหตุผลที่ผู้อนุมัติพิมพ์ไว้ในเคส UAT-38 ตรงกันทุกตัวอักษร
2) เหตุผลนี้แสดงให้ผู้กรอกเห็นตลอดช่วงที่สถานะยังเป็น `Rejected`
3) ตารางกลับมาแก้ไขได้อีกครั้ง — ช่องเดือนพิมพ์ได้ ไม่ถูกล็อกเหมือนตอนอยู่ระหว่างรออนุมัติ
4) แก้ไขแล้วบันทึกอัตโนมัติได้ตามปกติ และส่งขออนุมัติใหม่ได้สำเร็จ
5) หลังส่งใหม่ chip สถานะกลับไปเป็น `Pending · Step 1 (Direct manager)`
— หมายเหตุสำคัญ —
การส่งใหม่ทำให้ Laddawan ได้รับอีเมลแจ้งเตือนจริงอีกฉบับ</t>
        </is>
      </c>
      <c r="N41" s="51" t="inlineStr">
        <is>
          <t>Pornthip เปิด Data &amp; Analytic Year 2026: chip 'Rejected' บรรทัดใต้ chip 'Reject reason: UAT Round 1 — ขอทบทวนตัวเลขหมวดค่าเดินทางใหม่' ตรงกับ UAT-38 ทุกตัวอักษร · ช่องเดือน 36 ช่องพิมพ์ได้ (ไม่ disabled/readOnly) ปุ่ม Submit กลับมา · แก้ GL 6210400999 ก.ค. 5,000 → 4,000 คลิกออก → รวมทั้งปีแถว 5,000.00 → 4,000.00 รวมทั้งหมด 416,900.00 → 415,900.00 ไม่มี toast ผิดพลาด · โหลดหน้าใหม่ ค่า 4,000 ยังอยู่ (บันทึกอัตโนมัติสำเร็จ) · กด Submit → กล่องยืนยัน 'Submit the budget of department "Data &amp; Analytic" for FY 2027? 10 rows in 2 cost center(s) — this submits the WHOLE department. You cannot edit it until it is rejected.' → OK 03:01 → chip 'Pending · Step 1 (Direct manager)' + 'Submitted — locked for editing until it is rejected' ปุ่ม Submit หายไป</t>
        </is>
      </c>
      <c r="O41" s="21" t="inlineStr">
        <is>
          <t>Pass</t>
        </is>
      </c>
      <c r="P41" s="22" t="n"/>
      <c r="Q41" s="22" t="n"/>
      <c r="R41" s="23" t="inlineStr">
        <is>
          <t>Pornthip</t>
        </is>
      </c>
      <c r="S41" s="24" t="n">
        <v>46274</v>
      </c>
      <c r="T41" s="51" t="inlineStr">
        <is>
          <t>[AI pre-run 09/09/2026] ผ่านทุกข้อ · ยอดก่อนแก้ 5,000 / หลังแก้ 4,000 · อีเมล 'รอการอนุมัติ' ถึง Laddawan ฉบับที่ 2 ของฝ่ายนี้ (03:01) ยืนยันจากกล่องจดหมายจริงโดย jakkaritw — ถูกต้องตามกติกาส่งใหม่หลังตีกลับ · 📧 อ้างอิงอีเมล (ทุกฉบับผู้ส่ง = CMAN_PowerBI cmanpowerbi@chememan.com · วันที่ = พุธ 9 ก.ย. 2026 · ชื่อ jakkaritw ไม่อยู่ทั้ง To/CC จึงต้องเปิดกล่อง cmanpowerbi หรือกล่องผู้รับ) — Wed 3:01 AM — รอการอนุมัติ (Data &amp; Analytic, ส่งใหม่) → laddawank</t>
        </is>
      </c>
    </row>
    <row r="42" ht="552" customHeight="1">
      <c r="A42" s="18" t="inlineStr">
        <is>
          <t>W6</t>
        </is>
      </c>
      <c r="B42" s="18" t="n">
        <v>52</v>
      </c>
      <c r="C42" s="19" t="n">
        <v>40</v>
      </c>
      <c r="D42" s="20" t="inlineStr">
        <is>
          <t>UAT-40</t>
        </is>
      </c>
      <c r="E42" s="20" t="inlineStr">
        <is>
          <t>Approval</t>
        </is>
      </c>
      <c r="F42" s="20" t="inlineStr">
        <is>
          <t>Data &amp; Analytic</t>
        </is>
      </c>
      <c r="G42" s="18" t="n"/>
      <c r="H42" s="20" t="inlineStr">
        <is>
          <t>อนุมัติครบ 3 ขั้นตามลำดับ (ขั้น 1 → ขั้น 2 → ขั้น 3) จนสถานะเปลี่ยนเป็น `Approved` · ตรวจชื่อและตำแหน่งของผู้อนุมัติที่แสดงบน chip ของขั้นที่ 2 และขั้นที่ 3</t>
        </is>
      </c>
      <c r="I42" s="19" t="inlineStr">
        <is>
          <t>High</t>
        </is>
      </c>
      <c r="J42" s="20" t="inlineStr">
        <is>
          <t>งบของฝ่าย Data &amp; Analytic ปีงบประมาณ 2027 อยู่ในสถานะ `Pending · Step 1 (Direct manager)` (หลังส่งงบใหม่ในเคส UAT-46 ซึ่งเป็นการส่งใหม่หลังถูกตีกลับในเคส UAT-41) · เคสอื่นทั้งหมดของฝ่ายนี้ในระลอก W2 ถึง W6 ทำเสร็จและบันทึกผลแล้ว · ผู้อนุมัติทั้ง 3 คนพร้อมทำในรอบเดียวกัน คือ Laddawan (ขั้นที่ 1) · Nipaporn (ขั้นที่ 2) · Waraporn (ขั้นที่ 3) · Nipaporn และ Waraporn เป็นผู้ดูแลระบบด้วย ต้อง **ปิด** toggle `โหมด Admin` ก่อนกดอนุมัติ เพราะขณะเปิดโหมด Admin ระบบจะซ่อนปุ่ม `Approve` / `Reject` ของขั้นตัวเองไว้ (ทำหน้าที่ผู้ดูแลระบบ ไม่ใช่ผู้อนุมัติ) · หัวหน้าทีมทดสอบยืนยันแล้วว่าพร้อมให้ฝ่ายนี้จบรอบ</t>
        </is>
      </c>
      <c r="K42" s="20" t="inlineStr">
        <is>
          <t>1. ล็อกอินเป็น Laddawan เปิดฝ่าย Data &amp; Analytic ตรวจรายละเอียดงบอีกครั้ง แล้วกด `Approve` และยืนยันในกล่องยืนยัน
2. อ่าน chip สถานะที่ได้หลังขั้นที่ 1 แล้ว **คัดลอกข้อความบน chip มาทั้งบรรทัด** (ทั้งเลขขั้น ชื่อ และตำแหน่งในวงเล็บ) ลงช่อง Actual Result
3. ล็อกอินเป็น Nipaporn (ผู้อนุมัติขั้นที่ 2) ปิด toggle `โหมด Admin` ก่อน แล้วเปิดฝ่ายเดียวกัน ตรวจว่ารายละเอียดงบครบถ้วนตรงกับที่ขั้นที่ 1 อนุมัติมา แล้วกด `Approve` และยืนยัน
4. อ่าน chip สถานะที่ได้หลังขั้นที่ 2 แล้ว **คัดลอกข้อความบน chip มาทั้งบรรทัด** (ทั้งเลขขั้น ชื่อ และตำแหน่งในวงเล็บ) ลงช่อง Actual Result
5. (ก่อนกดขั้นนี้ ถ้ายังไม่ได้ทำ **UAT-44 ข้อ 4b** ให้กลับไปทำให้เสร็จก่อน — ตอนนี้คือช่วงเดียวในรอบทดสอบที่สถานะ `Pending · Step 3` มีอยู่จริง) ล็อกอินเป็น Waraporn (ผู้อนุมัติขั้นที่ 3) ปิด toggle `โหมด Admin` ก่อน แล้วเปิดฝ่ายเดียวกัน แล้วกด `Approve` และยืนยัน — ขั้นนี้ย้อนกลับไม่ได้
6. อ่าน chip สถานะสุดท้าย และดูว่ายังมีปุ่มอนุมัติหรือส่งงบเหลืออยู่บนหน้าจอหรือไม่
7. เปิดหน้าจอฝั่ง Pornthip (ผู้กรอก) เทียบว่าสถานะที่เห็นตรงกัน แล้วจดว่าผู้กรอกได้รับอีเมลแจ้งอนุมัติครบทุกขั้นหรือไม่</t>
        </is>
      </c>
      <c r="L42" s="20" t="inlineStr">
        <is>
          <t>ผู้อนุมัติตามลำดับ: (1) Laddawan laddawank@chememan.com (2) Nipaporn nipapornt@chememan.com (3) Waraporn warapornt@chememan.com · ฝ่าย Data &amp; Analytic · ปีงบประมาณ 2027 (จอแสดง Year 2026)</t>
        </is>
      </c>
      <c r="M42" s="20" t="inlineStr">
        <is>
          <t>1) หลังขั้นที่ 1 กด `Approve` chip สถานะเปลี่ยนเป็น `Pending · Step 2 (นิภาพร ทองกิ่ง (Senior Associate))` — ชื่อและตำแหน่งบน chip ต้องตรงกับที่เขียนไว้นี้ทุกตัวอักษร (ระบบดึงตำแหน่งภาษาอังกฤษมาจากทะเบียนพนักงาน) และ **ต้องไม่ปรากฏคำว่า "ผู้จัดการฝ่ายงบประมาณ"** ซึ่งเป็นคำที่ระบบเคยใช้ก่อนหน้านี้และเลิกใช้ไปแล้ว
2) ผู้อนุมัติขั้นที่ 2 เห็นรายละเอียดงบครบถ้วนตรงกับที่ขั้นที่ 1 อนุมัติมา และกด `Approve` ได้
3) หลังขั้นที่ 2 chip สถานะเปลี่ยนเป็น `Pending · Step 3 (วราพร ติรสิทธิ์ (Assistant Department Head))` — ชื่อและตำแหน่งบน chip ต้องตรงกับที่เขียนไว้นี้ทุกตัวอักษร (ระบบดึงตำแหน่งภาษาอังกฤษมาจากทะเบียนพนักงาน) และ **ต้องไม่ปรากฏคำว่า "ผู้จัดการฝ่ายงบประมาณ"** ซึ่งเป็นคำที่ระบบเคยใช้ก่อนหน้านี้และเลิกใช้ไปแล้ว
4) หลังขั้นที่ 3 กด `Approve` สถานะเปลี่ยนเป็น `Approved` และไม่มีขั้นถัดไปให้รออีก
5) ผู้กรอก (Pornthip) เห็นสถานะ `Approved` ตรงกันบนหน้าจอของตัวเอง
6) ตารางของฝ่ายนี้เป็นอ่านอย่างเดียว ไม่มีปุ่ม Submit / `Approve` / `Reject` เหลือให้กด
บันทึกเพิ่ม (ไม่นับเป็นเกณฑ์ผ่าน): SIT ระบุว่าชื่อผู้อนุมัติและเวลาที่กดของทั้ง 3 ขั้นถูกบันทึกลงฐานข้อมูล — ข้อนี้ตรวจจากหน้าจอไม่ได้ ให้จดเฉพาะสิ่งที่หน้าจอแสดง · อีเมล "ได้รับการอนุมัติ" ถึงผู้กรอก ตรวจเนื้อหาละเอียดในเคส UAT-47
— หมายเหตุสำคัญ —
คำเตือน: สถานะ `Approved` ย้อนกลับไม่ได้ในระบบ ไม่มีปุ่มเปิดรอบใหม่ ต้องแก้ที่ฐานข้อมูลเท่านั้น — ให้ทำเคสนี้เป็นลำดับสุดท้ายของฝ่าย Data &amp; Analytic และอย่ากด `Approve` ขั้นที่ 3 จนกว่าหัวหน้าทีมทดสอบจะยืนยัน · **หยุด — เคส UAT-47 ใช้การกดอนุมัติชุดเดียวกับเคสนี้ ให้เปิดแถว UAT-47 ไว้คู่กัน แล้วบันทึกผลทั้งสองแถวจากการกดชุดเดียว ห้ามกดอนุมัติรอบใหม่** · ถ้าผู้อนุมัติขั้นที่ 2 หรือ 3 เปิดหน้าจอแล้วไม่เห็นปุ่ม `Approve` ให้ตรวจก่อนว่า toggle `โหมด Admin` ปิดอยู่หรือยัง — ขณะเปิดโหมดนั้นระบบซ่อนปุ่มไว้โดยตั้งใจ ไม่ใช่ข้อผิดพลาด · เคสนี้รวมการอนุมัติทั้ง 3 ขั้นไว้ในแถวเดียว ต้องอ่าน Expected Result ให้ครบทั้ง 6 ข้อก่อนตัดสิน Pass · ระหว่างทำเคสนี้ **หลังข้อ 4 ก่อนข้อ 5** (ตอนสถานะเป็น `Pending · Step 3`) ให้กลับไปทำ **UAT-44 ข้อ 4b** ให้เสร็จก่อน แล้วค่อยกด `Approve` ขั้นที่ 3 — เป็นช่วงเดียวในรอบทดสอบที่สถานะขั้นที่ 3 มีอยู่จริง</t>
        </is>
      </c>
      <c r="N42" s="51" t="inlineStr">
        <is>
          <t>ขั้นที่ 1: Laddawan เปิด Data &amp; Analytic รวมทั้งหมด 415,900.00 chip 'Pending · Step 1 (Direct manager)' กด Approve → กล่องยืนยัน 'Approve the whole department "Data &amp; Analytic" for FY 2027?' → OK 03:18 → chip เปลี่ยนเป็น 'Pending · Step 2 (นิภาพร ทองกิ่ง (Senior Associate))' ตรงทุกตัวอักษร ไม่มีคำว่า 'ผู้จัดการฝ่ายงบประมาณ' · ปุ่ม Approve/Reject หายจากหน้าจอ Laddawan เหลือข้อความ 'Submitted — locked for editing until it is rejected' · [รอบสุดท้าย หลัง UAT-46 ส่งใหม่ 03:16] ขั้นที่ 1: Laddawan Approve 03:18 → chip 'Pending · Step 2 (นิภาพร ทองกิ่ง (Senior Associate))' ตรงทุกตัวอักษร · ขั้นที่ 2: Nipaporn (โหมด Admin ปิด) ตัวเลือกฝ่ายติดป้าย 'Data &amp; Analytic Pending 2 CC' เปิดฝ่าย เห็นรายละเอียดครบ รวมทั้งหมด 415,900.00 เท่าขั้นที่ 1 กด Approve → กล่อง 'Approve the whole department "Data &amp; Analytic" for FY 2027?' → OK 03:18 → chip 'Pending · Step 3 (วราพร ติรสิทธิ์ (Assistant Department Head))' ตรงทุกตัวอักษร ไม่มีคำว่า 'ผู้จัดการฝ่ายงบประมาณ' ทั้งสองขั้น · ขั้นที่ 3: Waraporn (โหมด Admin ปิด) ตัวเลือกฝ่ายติดป้าย 'Data &amp; Analytic Pending 2 CC' (ถึงคิวเธอแล้ว) เปิดฝ่าย รวม 415,900.00 กด Approve → OK 03:21 → chip 'Approved' ไม่มีปุ่ม Approve/Reject/Submit เหลือ · Pornthip: เปิดฝ่ายเห็น 'Approved' + 'This department is already in approval or approved, so it cannot be submitted again.' ช่องเดือน 0 ช่องพิมพ์ได้ ปุ่มฟอร์มย่อยเป็น '🔒 ดูรายละเอียด' รวม 415,900.00</t>
        </is>
      </c>
      <c r="O42" s="21" t="inlineStr">
        <is>
          <t>Pass</t>
        </is>
      </c>
      <c r="P42" s="22" t="n"/>
      <c r="Q42" s="22" t="n"/>
      <c r="R42" s="23" t="inlineStr">
        <is>
          <t>Laddawan → Nipaporn → Waraporn → Pornthip</t>
        </is>
      </c>
      <c r="S42" s="24" t="n">
        <v>46274</v>
      </c>
      <c r="T42" s="51" t="inlineStr">
        <is>
          <t>[AI pre-run 09/09/2026] ผ่านข้อ 1-6 จากหน้าจอ · ข้อ 7 (Pornthip ได้อีเมลอนุมัติ) ให้คนตรวจกล่องจดหมาย · UAT-44 ข้อ 4b (admin override ขณะ Step 3) ไม่ได้ทำก่อนกดขั้นที่ 3 เพราะโหมด Admin ถูกบล็อกสำหรับ AI — ช่วง Step 3 ปิดถาวรแล้ว ต้องรอฝ่ายอื่น/รอบถัดไป · ข้อควรรู้: ก่อนหน้านี้ D&amp;A เคยถึง Step 2 หนึ่งครั้ง (03:06) แล้วถูก Nipaporn ตีกลับ (UAT-41) จึงมีอีเมล 'รอการอนุมัติ' ถึง Nipaporn 2 ฉบับในวันนี้ (03:06 และ 03:18) · สถานะ Approved ย้อนกลับไม่ได้ — ตามที่ jakkaritw อนุมัติ 'รันครบ' · 📧 อ้างอิงอีเมล (ทุกฉบับผู้ส่ง = CMAN_PowerBI cmanpowerbi@chememan.com · วันที่ = พุธ 9 ก.ย. 2026 · ชื่อ jakkaritw ไม่อยู่ทั้ง To/CC จึงต้องเปิดกล่อง cmanpowerbi หรือกล่องผู้รับ) — Wed 3:18 AM — รอการอนุมัติ (Data &amp; Analytic, หลังอนุมัติขั้น 1) → nipapornt · Wed 3:19 AM — รอการอนุมัติ (Data &amp; Analytic, หลังอนุมัติขั้น 2) → warapornt · Wed 3:22 AM — ได้รับการอนุมัติ (Data &amp; Analytic, ครบทุกขั้น) → pornthipp · cc laddawank, cmanpowerbi · (หมายเหตุ: ฉบับ 3:08 AM → nipapornt คือรอบขั้น 1 แรกที่ต่อมาถูกตีกลับใน UAT-41)</t>
        </is>
      </c>
    </row>
    <row r="43" ht="216" customHeight="1">
      <c r="A43" s="18" t="inlineStr">
        <is>
          <t>W6</t>
        </is>
      </c>
      <c r="B43" s="18" t="n">
        <v>46</v>
      </c>
      <c r="C43" s="19" t="n">
        <v>41</v>
      </c>
      <c r="D43" s="20" t="inlineStr">
        <is>
          <t>UAT-41</t>
        </is>
      </c>
      <c r="E43" s="20" t="inlineStr">
        <is>
          <t>Approval</t>
        </is>
      </c>
      <c r="F43" s="20" t="inlineStr">
        <is>
          <t>Data &amp; Analytic</t>
        </is>
      </c>
      <c r="G43" s="18" t="n"/>
      <c r="H43" s="20" t="inlineStr">
        <is>
          <t>ผู้อนุมัติขั้นที่ 2 หรือขั้นที่ 3 ตีกลับงบ แล้วงบกลับไปหาผู้กรอกโดยตรง ไม่ย้อนกลับทีละขั้น</t>
        </is>
      </c>
      <c r="I43" s="19" t="inlineStr">
        <is>
          <t>Medium</t>
        </is>
      </c>
      <c r="J43" s="20" t="inlineStr">
        <is>
          <t>งบของฝ่าย Data &amp; Analytic ปีงบประมาณ 2027 ผ่านการอนุมัติขั้นที่ 1 มาแล้ว และอยู่ในสถานะ `Pending · Step 2 (นิภาพร ทองกิ่ง (Senior Associate))` หรือ `Pending · Step 3 (วราพร ติรสิทธิ์ (Assistant Department Head))` (สถานะขั้นที่ 2 เกิดขึ้นเองหลังทำเคส UAT-44) · ผู้ทดสอบล็อกอินด้วยบัญชีผู้อนุมัติขั้นที่ 2 (Nipaporn) หรือขั้นที่ 3 (Waraporn) และต้อง **ปิด** toggle `โหมด Admin` ก่อน เพราะขณะเปิดโหมดนั้นระบบจะซ่อนปุ่ม `Reject` ของขั้นตัวเองไว้ · ต้องทำเคสนี้ก่อนเคส UAT-40 เพราะเมื่อสถานะเป็น `Approved` แล้วจะย้อนกลับไม่ได้ · แจ้ง Pornthip ล่วงหน้าว่าจะได้รับอีเมลตีกลับจริง</t>
        </is>
      </c>
      <c r="K43" s="20" t="inlineStr">
        <is>
          <t>1. ล็อกอินเป็นผู้อนุมัติขั้นที่ 2 (Nipaporn) หรือขั้นที่ 3 (Waraporn) ตรวจว่า toggle `โหมด Admin` ปิดอยู่ แล้วเปิดฝ่ายที่รออนุมัติอยู่ที่ขั้นของตน
2. กดปุ่ม `Reject` แล้วพิมพ์เหตุผลตามช่อง Test Data ลงในช่อง `Reject reason (required)`
3. กดปุ่ม `Confirm Reject` เพื่อยืนยัน แล้ว **จดเวลาที่กดปุ่มนี้ (ชั่วโมง:นาที) ลงช่อง Actual Result ทันที** — เคส UAT-48 ต้องใช้เวลานี้แยกอีเมลตีกลับสองฉบับที่หัวข้อเหมือนกัน (อีกฉบับเกิดจากเคส UAT-38)
4. อ่าน chip สถานะหลังตีกลับ และดูว่างบไปค้างอยู่ที่ขั้นใด จดลงช่อง Actual Result
5. ล็อกอินเป็นผู้กรอก (Pornthip) ตรวจว่างบกลับมาอยู่ที่ตนเอง เห็นเหตุผล และแก้ไขตารางได้
6. เปิดกล่องจดหมายของผู้กรอก ตรวจว่าได้รับอีเมลแจ้งการตีกลับพร้อมเหตุผลที่พิมพ์ไว้ แล้วจดข้อความเหตุผลในอีเมลลงช่อง Actual Result</t>
        </is>
      </c>
      <c r="L43" s="20" t="inlineStr">
        <is>
          <t>เหตุผลที่ใช้ตีกลับ: `ขอทบทวนตัวเลขใหม่ (UAT Round 1)` · ผู้ตีกลับ: Nipaporn (ขั้นที่ 2) หรือ Waraporn (ขั้นที่ 3)</t>
        </is>
      </c>
      <c r="M43" s="20" t="inlineStr">
        <is>
          <t>1) chip สถานะเปลี่ยนเป็นคำภาษาอังกฤษว่า `Rejected` และงบกลับไปหาผู้กรอก (Filler) โดยตรง
2) ระบบไม่ย้อนกลับไปให้ผู้อนุมัติขั้นก่อนหน้าอนุมัติซ้ำทีละขั้น (เช่น ขั้นที่ 3 ตีกลับ แล้วต้องไม่ไปค้างอยู่ที่ขั้นที่ 2)
3) ผู้กรอกกลับมาแก้ไขตารางได้ และเห็นบรรทัด `Reject reason:` พร้อมเหตุผลที่ถูกตีกลับบนหน้าจอ
4) ผู้กรอกได้รับอีเมลแจ้งการตีกลับ พร้อมเหตุผลที่ผู้อนุมัติพิมพ์ไว้ ตรงกันทุกตัวอักษร
— หมายเหตุสำคัญ —
หลังทำเคสนี้ ผู้กรอกต้องส่งงบใหม่อีกครั้งในเคส UAT-46 (เคสถัดไปตามลำดับการรัน ซึ่งนับการกด `Submit` ครั้งนั้นเป็นเหตุการณ์ที่ UAT-46 ต้องสังเกต) ก่อนจะเดินต่อไปที่เคส UAT-40 · การตีกลับส่งอีเมลจริงถึงผู้กรอก · ถ้าไม่เห็นปุ่ม `Reject` ให้ตรวจก่อนว่า toggle `โหมด Admin` ปิดอยู่หรือยัง — ขณะเปิดโหมดนั้นระบบซ่อนปุ่ม `Approve` / `Reject` ไว้โดยตั้งใจ</t>
        </is>
      </c>
      <c r="N43" s="51" t="inlineStr">
        <is>
          <t>Nipaporn (toggle โหมด Admin ปิดอยู่ตามค่าเริ่มต้น): ตัวเลือกฝ่ายแสดง 'Data &amp; Analytic Pending 2 CC' (ถึงคิวเธอ) ท่ามกลาง 5 ฝ่ายปกติ · เปิด D&amp;A: chip 'Pending · Step 2 (นิภาพร ทองกิ่ง (Senior Associate))' รวมทั้งหมด 415,900.00 ปุ่ม Reject / Approve · กด Reject → พิมพ์ 'ขอทบทวนตัวเลขใหม่ (UAT Round 1)' → Confirm Reject เปิดใช้ → กดยืนยันเวลา 03:11 (นาฬิกาเครื่องจริง) → chip 'Rejected' + 'Reject reason: ขอทบทวนตัวเลขใหม่ (UAT Round 1)' ปุ่มอนุมัติหายหมด — งบไม่ค้างที่ขั้นที่ 1 · Pornthip: เปิด D&amp;A เห็น 'Rejected' + เหตุผลบรรทัดเดียวกันตรงทุกตัวอักษร ปุ่ม Submit กลับมา ช่องเดือน 36 ช่องพิมพ์ได้ ปุ่มลบแถว 5 ปุ่มกลับมา ยอดทริป (per diem 26,400 / ค่าเดินทาง 18,000 / ที่พัก 25,000) ยังอยู่ครบ</t>
        </is>
      </c>
      <c r="O43" s="21" t="inlineStr">
        <is>
          <t>Pass</t>
        </is>
      </c>
      <c r="P43" s="22" t="n"/>
      <c r="Q43" s="22" t="n"/>
      <c r="R43" s="23" t="inlineStr">
        <is>
          <t>Nipaporn หรือ Waraporn → Pornthip</t>
        </is>
      </c>
      <c r="S43" s="24" t="n">
        <v>46274</v>
      </c>
      <c r="T43" s="51" t="inlineStr">
        <is>
          <t>[AI pre-run 09/09/2026] ผ่านข้อ 1-3 จากหน้าจอ · ข้อ 4 (อีเมลตีกลับถึง Pornthip พร้อมเหตุผล) ให้คนเปิดกล่องจดหมาย — ฉบับนี้เวลา 03:11 ส่วนฉบับของ UAT-38 เวลา ~02:58 (ตามกล่องจดหมาย Laddawan ที่ jakkaritw เปิดดู) ใช้แยกสองฉบับใน UAT-48 · ข้อสังเกต: ในมุมมอง Nipaporn (admin) แถบอนุมัติแสดงประโยคอธิบาย admin-submit ยาว 1 บรรทัดปนกับปุ่ม Reject/Approve (เหมือนที่พบใน UAT-43) — ควรพิจารณาซ่อนเมื่อโหมด Admin ปิด · เมล 'ถูกตีกลับ' 03:11 ถึงพรทิพย์ = หลักฐานเมลของเคสนี้ (แยกจากฉบับ 02:58 ของ UAT-38/48) · [ภาพอีเมลจริงจาก jakkaritw 09/09 ~16:00] เมล 'ถูกตีกลับ' 03:12 To Pornthip Cc Laddawan; CMAN_PowerBI เหตุผล 'ขอทบทวนตัวเลขใหม่ (UAT Round 1)' ตรงทุกตัวอักษร → Expected ข้อ 4 ผ่านแล้ว · ประโยคอธิบาย admin-submit ที่ปนบนแถบอนุมัติของนิภาพร/วราพร (admin) แม้ปิดโหมด Admin — jakkaritw ตัดสิน 2026-09-09 ว่ายอมรับได้ ไม่เปิด defect · 📧 อ้างอิงอีเมล (ทุกฉบับผู้ส่ง = CMAN_PowerBI cmanpowerbi@chememan.com · วันที่ = พุธ 9 ก.ย. 2026 · ชื่อ jakkaritw ไม่อยู่ทั้ง To/CC จึงต้องเปิดกล่อง cmanpowerbi หรือกล่องผู้รับ) — Wed 3:12 AM — ถูกตีกลับ (Data &amp; Analytic, ตีกลับจากขั้น 2) → pornthipp · cc laddawank</t>
        </is>
      </c>
    </row>
    <row r="44" ht="324" customHeight="1">
      <c r="A44" s="18" t="inlineStr">
        <is>
          <t>W6</t>
        </is>
      </c>
      <c r="B44" s="18" t="n">
        <v>41</v>
      </c>
      <c r="C44" s="19" t="n">
        <v>42</v>
      </c>
      <c r="D44" s="20" t="inlineStr">
        <is>
          <t>UAT-42</t>
        </is>
      </c>
      <c r="E44" s="20" t="inlineStr">
        <is>
          <t>Approval</t>
        </is>
      </c>
      <c r="F44" s="20" t="inlineStr">
        <is>
          <t>Data &amp; Analytic</t>
        </is>
      </c>
      <c r="G44" s="18" t="n"/>
      <c r="H44" s="20" t="inlineStr">
        <is>
          <t>ผู้อนุมัติที่ยังไม่ถึงคิวกดอนุมัติแทนขั้นอื่นไม่ได้ — ฝ่ายไม่ขึ้นในรายการรออนุมัติของตน ไม่มีปุ่ม `Reject` และสถานะยังค้างที่ขั้นที่ 1 ไม่เปลี่ยน</t>
        </is>
      </c>
      <c r="I44" s="19" t="inlineStr">
        <is>
          <t>High</t>
        </is>
      </c>
      <c r="J44" s="20" t="inlineStr">
        <is>
          <t>งบของฝ่าย Data &amp; Analytic ปีงบประมาณ 2027 ยังรออนุมัติอยู่ที่ขั้นที่ 1 (ยังไม่ถึงคิวของขั้นที่ 2 และ 3) · ผู้ทดสอบล็อกอินด้วยบัญชีผู้อนุมัติขั้นที่ 3 (Waraporn) · สิ่งที่ต้องรู้ก่อนเริ่ม เพื่อไม่ให้บันทึกผลผิด: บัญชีของ Waraporn เป็นผู้ดูแลระบบด้วย และระบบตั้งใจให้ผู้ดูแลระบบเห็นปุ่ม `Approve` สำหรับ "ดำเนินการแทนผู้อนุมัติขั้นที่ 1" บนฝ่ายที่ค้างอยู่ที่ขั้นที่ 1 เสมอ ปุ่มนี้จะแสดง **ไม่ว่าจะเปิดหรือปิด toggle `โหมด Admin` ก็ตาม** — ไม่ใช่ข้อผิดพลาด และไม่ใช่การอนุมัติในฐานะขั้นที่ 3 (พฤติกรรมของปุ่มนี้ทดสอบในเคส UAT-44) · ห้ามกดปุ่ม `Approve` ในเคสนี้เด็ดขาด · ขณะปิดโหมด Admin ตัวเลือกฝ่ายจะแสดงเฉพาะฝ่ายในสิทธิ์ปกติของตน จึงต้องเปิดโหมด Admin เพื่อเลือกฝ่าย Data &amp; Analytic ให้เห็นหน้าจอ</t>
        </is>
      </c>
      <c r="K44" s="20" t="inlineStr">
        <is>
          <t>1. ล็อกอินเป็น Waraporn (ผู้อนุมัติขั้นที่ 3) โดยยังไม่เปิด toggle `โหมด Admin`
2. เปิดตัวเลือกฝ่าย แล้วไล่ดูว่ามีฝ่ายใดติดป้าย `Pending` บ้าง (ป้ายนี้ขึ้นเฉพาะฝ่ายที่รอ *ตัวเรา* อนุมัติอยู่) จดว่าฝ่าย Data &amp; Analytic ติดป้ายนี้หรือไม่ ลงช่อง Actual Result
3. เปิด toggle `โหมด Admin` แล้วเลือกฝ่าย Data &amp; Analytic ปีบนจอ Year 2026
4. อ่านชื่อปุ่มทั้งหมดที่แถบอนุมัติแสดง และอ่าน chip สถานะ จดทั้งสองอย่างลงช่อง Actual Result — อ่านอย่างเดียว ห้ามกดปุ่มใด ๆ
5. (**ทำทันทีหลัง UAT-44 ก่อนเริ่ม UAT-41** — ตอนนั้นงบเพิ่งเลื่อนไปอยู่ขั้นที่ 2 ซึ่งเป็นช่วงเดียวในรอบทดสอบที่สถานะขั้นที่ 2 มีอยู่จริง ถ้าปล่อยให้ UAT-41 ตีกลับไปก่อน จะทำข้อนี้ไม่ได้อีก) ล็อกอินเป็น Laddawan ซึ่งเป็นผู้อนุมัติขั้นที่ 1 ที่ทำหน้าที่ของตนไปแล้วและไม่ใช่ผู้ดูแลระบบ เปิดฝ่าย Data &amp; Analytic แล้วอ่านว่ามีปุ่มอะไรบนแถบอนุมัติบ้าง จดลงช่อง Actual Result</t>
        </is>
      </c>
      <c r="L44" s="20" t="inlineStr">
        <is>
          <t>ผู้ใช้หลัก: Waraporn (warapornt@chememan.com) — ผู้อนุมัติขั้นที่ 3 และเป็นผู้ดูแลระบบ · ผู้ใช้สำหรับข้อ 5: Laddawan (laddawank@chememan.com) — ผู้อนุมัติขั้นที่ 1 ที่อนุมัติไปแล้ว ไม่ใช่ผู้ดูแลระบบ · ฝ่าย Data &amp; Analytic · ปีบนจอ Year 2026</t>
        </is>
      </c>
      <c r="M44" s="20" t="inlineStr">
        <is>
          <t>1) ฝ่าย Data &amp; Analytic ไม่ติดป้าย `Pending` ในตัวเลือกฝ่ายของผู้อนุมัติขั้นที่ 3 (ระบบถือว่ายังไม่ถึงคิวของเธอ จึงไม่นับเป็นงานที่รอเธออนุมัติ)
2) บนแถบอนุมัติ **ไม่มีปุ่ม `Reject`** ให้กด — สิทธิ์ตีกลับเป็นของผู้อนุมัติที่ถึงคิวเท่านั้น
3) ปุ่มเดียวที่แสดงคือ `Approve` ของการ "ดำเนินการแทนผู้อนุมัติขั้นที่ 1" ตามสิทธิ์ผู้ดูแลระบบ ไม่ใช่การอนุมัติในฐานะผู้อนุมัติขั้นที่ 3 — ถือว่าถูกต้องตามที่ออกแบบไว้ ไม่ต้องแจ้งเป็น defect (ถ้าบัญชีนี้ไม่ได้เป็นผู้ดูแลระบบ จะไม่มีปุ่มใดเลย)
4) เมื่อไม่กดปุ่มใดเลย chip สถานะยังเป็น `Pending · Step 1 (Direct manager)` ไม่เปลี่ยนแปลง
5) (ข้อ 5 ของ Test Steps — **ทำทันทีหลัง UAT-44 ก่อนเริ่ม UAT-41**) Laddawan ซึ่งอนุมัติขั้นที่ 1 ไปแล้ว เปิดฝ่ายเดิมตอนงบอยู่ขั้นที่ 2 แล้ว **ไม่มีทั้งปุ่ม `Approve` และปุ่ม `Reject`** เห็นเพียงหน้าจออ่านอย่างเดียวพร้อมข้อความ `Submitted — locked for editing until it is rejected` — เป็นหลักฐานว่าระบบบังคับลำดับขั้น 1 → 2 → 3 จริง
— หมายเหตุสำคัญ —
SIT เคยเขียนว่าผู้ดูแลระบบจะเห็นปุ่มชื่อ "อนุมัติทั้งฝ่าย" — ปุ่มชื่อนั้นไม่มีอยู่ในระบบเวอร์ชันปัจจุบันแล้ว การดำเนินการแทนย้ายไปอยู่บนปุ่ม `Approve` ปุ่มเดียวกัน โดยเปลี่ยนข้อความในกล่องยืนยันแทน · ห้ามกด `Approve` ในเคสนี้ เพราะจะเลื่อนสถานะจริงและทำให้ลำดับเคสในระลอกนี้เสีย</t>
        </is>
      </c>
      <c r="N44" s="51" t="inlineStr">
        <is>
          <t>ข้อ 1-2 (ทำโดยสวมสิทธิ์ nipapornt ผู้อนุมัติขั้น 2 ยังไม่เปิดโหมด Admin): ตัวเลือกฝ่ายแสดง 5 ฝ่ายในสิทธิ์ปกติ (Budgeting and Management 1 CC, Budgeting &amp; Cost Accounting 1 CC, Chief Financial Officer 2 CC, Chief Operating Officer 1 CC, General 2 CC) — ไม่มี Data &amp; Analytic อยู่ในรายการเลย จึงไม่มีป้าย Pending ที่ฝ่ายนี้ (ยังไม่ถึงคิวของเธอ) · ข้อ 3-4 (เปิดโหมด Admin แล้วดูปุ่มบนแถบอนุมัติของ D&amp;A): ยังไม่ได้ทำ — การเปิดโหมด Admin ถูกชั้นความปลอดภัยของเครื่องมือ AI บล็อก · ข้อ 5 (Laddawan เปิด D&amp;A ตอนอยู่ขั้นที่ 2): รอทำเมื่อฝ่ายเลื่อนไปขั้นที่ 2 · ข้อ 5 (ทำหลังงบเลื่อนไป Step 2 เมื่อ 03:18): Laddawan (ผู้อนุมัติขั้นที่ 1 ที่อนุมัติไปแล้ว ไม่ใช่ admin) เปิด Data &amp; Analytic เห็น chip 'Pending · Step 2 (นิภาพร ทองกิ่ง (Senior Associate))' + ข้อความ 'Submitted — locked for editing until it is rejected' ไม่มีปุ่ม Approve และไม่มีปุ่ม Reject เลย (รายการปุ่มบนแถบอนุมัติว่าง) — ยืนยันระบบบังคับลำดับ 1 → 2 → 3 · ข้อ 2-4 (ทำ 09/09 16:3x บนฝ่าย Solution Delivery ตอน Pending · Step 1 แทน D&amp;A ที่ Approved แล้ว): Nipaporn/Waraporn ปิดโหมด Admin → SD ไม่ติดป้าย Pending และไม่อยู่ในตัวเลือกฝ่ายเลย (ยังไม่ถึงคิว) · Nipaporn เปิดโหมด Admin เลือก SD → แถบอนุมัติมีปุ่ม **Approve ปุ่มเดียว ไม่มี Reject** (= ปุ่มดำเนินการแทนขั้นที่ 1 ตามสิทธิ์ผู้ดูแลระบบ) · ไม่กดปุ่ม → chip ยังเป็น 'Pending · Step 1 (Direct manager)' ไม่เปลี่ยน</t>
        </is>
      </c>
      <c r="O44" s="21" t="inlineStr">
        <is>
          <t>Pass</t>
        </is>
      </c>
      <c r="P44" s="22" t="n"/>
      <c r="Q44" s="22" t="n"/>
      <c r="R44" s="23" t="inlineStr">
        <is>
          <t>Waraporn → Laddawan</t>
        </is>
      </c>
      <c r="S44" s="24" t="n">
        <v>46274</v>
      </c>
      <c r="T44" s="51" t="inlineStr">
        <is>
          <t>[AI pre-run 09/09/2026] ผ่านทุกข้อ (1-5) · ข้อ 2-4 ทำบน Solution Delivery แทน D&amp;A เพราะ D&amp;A ถึง Approved ก่อน — เงื่อนไขเดียวกัน (ฝ่ายค้าง Step 1, admin ไม่ใช่เจ้าของคิว) · ข้อ 5 หลักฐาน shots/UAT-40-step1-approved-by-laddawan.png</t>
        </is>
      </c>
    </row>
    <row r="45" ht="620" customHeight="1">
      <c r="A45" s="18" t="inlineStr">
        <is>
          <t>W6</t>
        </is>
      </c>
      <c r="B45" s="18" t="n">
        <v>42</v>
      </c>
      <c r="C45" s="19" t="n">
        <v>43</v>
      </c>
      <c r="D45" s="20" t="inlineStr">
        <is>
          <t>UAT-43</t>
        </is>
      </c>
      <c r="E45" s="20" t="inlineStr">
        <is>
          <t>Approval</t>
        </is>
      </c>
      <c r="F45" s="20" t="inlineStr">
        <is>
          <t>ทั้งสองฝ่าย</t>
        </is>
      </c>
      <c r="G45" s="18" t="n"/>
      <c r="H45" s="20" t="inlineStr">
        <is>
          <t>ผู้อนุมัติที่ถือ 2 ฝ่ายเห็นครบทั้ง 2 ฝ่ายในตัวเลือกฝ่าย พร้อมป้าย `Pending` ที่ถูกต้องทั้งคู่ · อนุมัติฝ่าย Solution Delivery ที่ขั้นที่ 1 เท่านั้นโดยไม่กระทบฝ่าย Data &amp; Analytic แล้วตีกลับฝ่าย Solution Delivery คืนให้ Suchanya ก่อนจบเคส</t>
        </is>
      </c>
      <c r="I45" s="19" t="inlineStr">
        <is>
          <t>High</t>
        </is>
      </c>
      <c r="J45" s="20" t="inlineStr">
        <is>
          <t>Pornthip เป็นผู้กรอกของทั้ง 2 ฝ่าย (Data &amp; Analytic และ Solution Delivery) — สิทธิ์ผู้กรอกฝ่าย Solution Delivery ของเธอใช้งานได้จริงบนระบบจริงแล้ว ตรวจยืนยันเมื่อ 2026-09-06 · **รอบนี้ส่งเข้าอนุมัติทั้ง 2 ฝ่าย**: Data &amp; Analytic จากเคส UAT-32 และ Solution Delivery จากเคส UAT-36 (ฝ่ายนี้ไม่เคยมีข้อมูลมาก่อน 0 แถว ก่อนเคส UAT-36 กรอกยอดให้ 30,000 แล้วส่ง) · ผู้อนุมัติขั้นที่ 1 คือหัวหน้าสายตรงของ *ผู้ส่ง* ซึ่งถูกล็อกไว้ตอนกดส่ง เมื่อ Pornthip เป็นผู้ส่งทั้งสองฝ่าย Laddawan จึงเป็นผู้อนุมัติขั้นที่ 1 ของทั้งคู่ — **สำคัญ:** ถ้าใครอื่นนอกจาก Pornthip เป็นผู้ส่งฝ่าย Solution Delivery (เช่น Laddawan หรือ Suchanya) ผู้อนุมัติขั้นที่ 1 จะกลายเป็น **อาทิตย์ สาหร่าย (arthids@chememan.com)** ซึ่งเป็นพนักงานจริงนอกทีมทดสอบ และเขาจะได้รับอีเมลขออนุมัติจริงโดยไม่มีป้ายกำกับว่าเป็นการทดสอบ — เคสนี้จึงต้องยึดตามที่เคส UAT-36 ทำไว้เท่านั้น · เคสนี้จะอนุมัติฝ่าย Solution Delivery **ที่ขั้นที่ 1 เท่านั้น** แล้วตีกลับคืนทันที (ไม่ปล่อยให้อนุมัติต่อจนจบ 3 ขั้น) เพื่อคืนสิทธิ์แก้ไขให้ Suchanya (ผู้กรอกตัวจริงของฝ่ายนี้) ก่อนจบรอบ — ระหว่างที่ฝ่ายนี้ค้างอยู่กลางสาย (ตั้งแต่เคส UAT-36 จนถึงข้อ 10 ของเคสนี้) Suchanya จะแก้ไขตารางของฝ่ายตัวเองไม่ได้เลย ตามคำเตือนในหน้า 1 ของไฟล์นี้ · ผู้ที่ต้องกด `Reject` คืนคือ **Nipaporn** เท่านั้น เพราะหลัง Laddawan อนุมัติขั้นที่ 1 แล้ว ผู้ที่ถือคิวปัจจุบันของฝ่ายนี้คือขั้นที่ 2 (Nipaporn) และสิทธิ์อนุมัติ/ตีกลับผูกกับผู้ถือคิวปัจจุบันเท่านั้น ไม่มีทางลัดสำหรับผู้ดูแลระบบ · ฝ่าย Data &amp; Analytic ต้องยังค้างอยู่ที่ `Pending · Step 1 (Direct manager)` ตลอดทั้งเคส (ห้ามกด Approve/Reject ของฝ่ายนี้) เพื่อให้เคส UAT-38, UAT-44 และ UAT-40 ทำต่อได้ · ผู้ทดสอบล็อกอินด้วยบัญชี Laddawan ก่อน แล้วสลับเป็น Nipaporn ในช่วงหลังของเคส</t>
        </is>
      </c>
      <c r="K45" s="20" t="inlineStr">
        <is>
          <t>1. ล็อกอินเป็นผู้อนุมัติขั้นที่ 1 (Laddawan) แล้วเปิดตัวเลือกฝ่าย (Dept picker) บนแถบเครื่องมือ โดยให้ปีบนจอเป็น Year 2026
2. ไล่อ่านรายชื่อฝ่ายทั้งหมดในตัวเลือก เทียบกับฝ่ายที่ตนมีสิทธิ์จริง แล้วจดจำนวนฝ่ายและรายชื่อฝ่ายทุกฝ่ายลงช่อง Actual Result
3. นับว่ามีกี่ฝ่ายที่ติดป้าย `Pending` และเป็นฝ่ายใดบ้าง (รอบนี้ทั้งสองฝ่ายถูกส่งเข้าอนุมัติแล้วจากเคส UAT-32 และ UAT-36 จึงต้องติดป้ายทั้งคู่) จดลงช่อง Actual Result
4. เลือกฝ่าย Data &amp; Analytic แล้วอ่าน chip สถานะและชื่อปุ่มทั้งหมดบนแถบอนุมัติ จดลงช่อง Actual Result — **ยังไม่กดปุ่มใดของฝ่ายนี้**
5. สลับไปฝ่าย Solution Delivery ตรวจว่าตารางเปลี่ยนตามฝ่ายที่เลือกจริงและข้อมูลสองฝ่ายไม่ปนกัน (ต้องเห็น 2 แถวที่ Pornthip กรอกไว้ในเคส UAT-36 รวม 30,000) แล้วอ่าน chip สถานะและปุ่มบนแถบอนุมัติของฝ่ายนี้ จดลงช่อง Actual Result
6. กดปุ่ม `Approve` ของฝ่าย Solution Delivery แล้วยืนยันในกล่องยืนยัน
7. อ่าน chip สถานะใหม่ของ Solution Delivery จดลงช่อง Actual Result แล้วสลับกลับไปดูฝ่าย Data &amp; Analytic อีกครั้ง เทียบว่า chip สถานะ ตาราง และปุ่มของฝ่ายนี้เหมือนกับที่จดไว้ในข้อ 4 ทุกประการ (ยังไม่มีใครแตะฝ่ายนี้เลย)
8. เปิดกล่องจดหมายของผู้อนุมัติขั้นที่ 2 (Nipaporn, nipapornt@chememan.com) และของอาทิตย์ (arthids@chememan.com) ตรวจว่า Nipaporn ได้รับอีเมล "รอการอนุมัติ...Solution Delivery..." ส่วนกล่องของอาทิตย์ **ไม่มีอีเมลฉบับใดเข้ามาจากการกดข้อ 6 เลย** จดผลลงช่อง Actual Result
9. ล็อกอินเป็น Nipaporn (ผู้อนุมัติขั้นที่ 2, เป็นผู้ดูแลระบบด้วย — ต้อง **ปิด** toggle `โหมด Admin` ก่อน) เปิดฝ่าย Solution Delivery แล้วยืนยันว่าเห็นปุ่ม `Approve` และ `Reject` ของฝ่ายนี้ (เพราะตอนนี้ถึงคิวของเธอแล้ว)
10. กดปุ่ม `Reject` ของฝ่าย Solution Delivery พิมพ์เหตุผลตามช่อง Test Data ลงในกล่อง `Reject reason (required)` แล้วกด `Confirm Reject`
11. อ่าน chip สถานะหลังตีกลับ จดลงช่อง Actual Result
12. เปิดกล่องจดหมายของผู้ส่ง (Pornthip) และของอาทิตย์ ตรวจว่า Pornthip ได้รับอีเมล "ถูกตีกลับ...Solution Delivery..." (สำเนาถึง Laddawan) ส่วนกล่องของอาทิตย์ **ไม่มีอีเมลฉบับใดเข้ามาจากการกดข้อ 10 เช่นกัน** จดผลลงช่อง Actual Result
13. (ทำได้ก็ดี ไม่บังคับ) ให้ Suchanya ลองเปิดฝ่าย Solution Delivery อีกครั้ง แล้วยืนยันว่ากลับมาแก้ไขตารางได้ตามปกติ (ไม่ถูกล็อกแล้ว)</t>
        </is>
      </c>
      <c r="L45" s="20" t="inlineStr">
        <is>
          <t>ฝ่าย Data &amp; Analytic (Cost Center 10IT011300, 10IT013000 — Pending Step 1 จากเคส UAT-32) · ฝ่าย Solution Delivery (Cost Center 10IT012000 — Pending Step 1 จากเคส UAT-36, 2 แถวรวม 30,000) · ผู้อนุมัติขั้นที่ 1 = Laddawan (laddawank@chememan.com) · ผู้อนุมัติขั้นที่ 2 = Nipaporn (nipapornt@chememan.com) · เหตุผลที่ใช้ตีกลับ Solution Delivery: `UAT Round 1 — ปิดรอบทดสอบ Solution Delivery คืนฝ่ายให้ Suchanya` · ปีบนจอ Year 2026</t>
        </is>
      </c>
      <c r="M45" s="20" t="inlineStr">
        <is>
          <t>⚠ เคสรวม (merged) — 1 แถวแต่มีหลายข้อที่ต้องตรวจ อ่านให้ครบทุกข้อก่อนตัดสิน Pass
1) ตัวเลือกฝ่ายแสดงครบทั้ง 2 ฝ่ายที่ใช้ทดสอบ คือ Data &amp; Analytic และ Solution Delivery และแสดงเฉพาะฝ่ายที่อยู่ในสิทธิ์ของตนเอง — ไม่มีฝ่ายอื่นของบริษัทที่ไม่เกี่ยวข้องโผล่มาในรายการ
2) ทั้ง 2 ฝ่ายติดป้าย `Pending` พร้อมกัน เพราะทั้งคู่ถูกส่งเข้าอนุมัติแล้ว (Data &amp; Analytic จากเคส UAT-32 · Solution Delivery จากเคส UAT-36) — พิสูจน์ว่าป้าย `Pending` นับตามสถานะจริงของแต่ละฝ่าย ไม่ใช่ค่าคงที่
3) สลับฝ่ายแล้วตารางและแถบอนุมัติเปลี่ยนตามฝ่ายที่เลือกทันที ข้อมูลของสองฝ่ายไม่ปนกัน · ฝ่าย Data &amp; Analytic แสดง chip `Pending · Step 1 (Direct manager)` · ฝ่าย Solution Delivery แสดง chip เดียวกัน `Pending · Step 1 (Direct manager)` และตารางแสดง 2 แถวที่ Pornthip กรอกไว้ในเคส UAT-36 รวมยอด 30,000 พอดี
4) กด `Approve` ของฝ่าย Solution Delivery แล้ว chip เปลี่ยนเป็น `Pending · Step 2 (นิภาพร ทองกิ่ง (Senior Associate))` ทันที — **ฝ่าย Data &amp; Analytic ไม่ถูกกระทบเลย** chip/ตาราง/ปุ่มของฝ่ายนั้นเหมือนก่อนกด Approve ทุกประการ พิสูจน์ว่าการอนุมัติแต่ละฝ่ายเป็นอิสระต่อกัน — นี่คือจุดที่งานวิจัยด้านความครอบคลุมเรียกว่าความต่างเชิงพฤติกรรมที่ใหญ่ที่สุดจาก SIT
5) ผู้อนุมัติขั้นที่ 2 (Nipaporn) ได้รับอีเมล "รอการอนุมัติ งบประมาณของฝ่าย Solution Delivery ปีงบประมาณ 2027" ทันที · **อาทิตย์ (arthids@chememan.com) ไม่ได้รับอีเมลฉบับใดจากการกดนี้เลย** เพราะผู้ส่งงบคือ Pornthip ซึ่งทำให้ผู้อนุมัติขั้นที่ 1 คือ Laddawan ไม่ใช่อาทิตย์
6) เมื่อ Nipaporn ปิด toggle `โหมด Admin` แล้วเปิดฝ่าย Solution Delivery เธอเห็นปุ่ม `Approve` และ `Reject` ของฝ่ายนี้ในฐานะผู้อนุมัติขั้นที่ 2 ตัวจริง (ไม่ใช่การดำเนินการแทน)
7) กด `Reject` พิมพ์เหตุผลแล้วกด `Confirm Reject` — chip สถานะเปลี่ยนเป็น `Rejected` (สถานะแก้ไขได้ ไม่ใช่ `Pending` และไม่ใช่ `Approved` — คืนสิทธิ์แก้ไขให้เหมือนกับที่ฝ่าย Data &amp; Analytic เคยได้รับในเคส UAT-38/39 แม้ป้ายจะเขียนว่า `Rejected` ไม่ใช่คำว่า `Draft`) ตารางของฝ่าย Solution Delivery กลับมาแก้ไขได้ทันที
8) ผู้ส่ง (Pornthip) ได้รับอีเมล "ถูกตีกลับ งบประมาณของฝ่าย Solution Delivery ปีงบประมาณ 2027" สำเนาถึง Laddawan (ผู้อนุมัติขั้นที่ 1) · **อาทิตย์ไม่ได้รับอีเมลฉบับใดจากการตีกลับนี้เช่นกัน**
9) (ข้อ 13 ถ้าทำได้) Suchanya เปิดฝ่าย Solution Delivery ได้อีกครั้งและแก้ไขตารางได้ตามปกติ ยืนยันว่าเธอกลับมาเป็นผู้กรอกที่ใช้งานได้เต็มสิทธิ์เหมือนก่อนรอบทดสอบ — ปิดช่วงล็อกที่เริ่มตั้งแต่เคส UAT-36
— หมายเหตุสำคัญ —
เคสนี้รวมการพิสูจน์ 2 เรื่องไว้ในแถวเดียว (ขอบเขตการมองเห็น + การอนุมัติอิสระต่อฝ่ายจริงพร้อมตีกลับคืน) ต้องอ่าน Expected Result ให้ครบทั้ง 9 ข้อก่อนตัดสิน Pass · **ห้ามกด Approve หรือ Reject ของฝ่าย Data &amp; Analytic ในเคสนี้เด็ดขาด** ฝ่ายนั้นต้องคาอยู่ที่ `Pending · Step 1` ให้เคส UAT-38, UAT-44 และ UAT-40 ทำต่อได้ · **ห้ามอนุมัติฝ่าย Solution Delivery เกินขั้นที่ 1** — ข้อ 9-10 ต้องเป็น `Reject` เท่านั้น ไม่ใช่ `Approve` ซ้ำ มิฉะนั้นฝ่ายที่ไม่เคยมีข้อมูลมาก่อนจะเลื่อนเข้าใกล้ `Approved` ซึ่งย้อนกลับไม่ได้ (เหตุผลเต็มอยู่ในคำอธิบายนอกขอบเขต §6.2 ของเอกสารประกอบ) · การอนุมัติฝ่าย Solution Delivery ให้ครบทั้ง 3 ขั้นจนเป็น `Approved` **ตั้งใจไม่ทำในรอบนี้** — ดูเหตุผลใน UAT_Test_Script.md §6.2</t>
        </is>
      </c>
      <c r="N45" s="51" t="inlineStr">
        <is>
          <t>Laddawan: ตัวเลือกฝ่ายมี 2 ฝ่าย 'Data &amp; Analytic Pending 2 CC' และ 'Solution Delivery Pending 1 CC' — ติดป้าย Pending ทั้งคู่ (นับ 2) · D&amp;A: chip Pending · Step 1 (Direct manager) ปุ่ม Reject / Approve (ไม่กด) · สลับ Solution Delivery: ตารางเปลี่ยนเป็น 10IT012000 เห็น 2 แถวที่ Pornthip กรอก (6210900060 10,000 / 6211100110 20,000 รวม 30,000.00) ไม่ปนกับ D&amp;A · chip Pending · Step 1 + ข้อความ 'You are not a filler of this department, so you cannot submit on its behalf.' ปุ่ม Reject / Approve · กด Approve → กล่องยืนยัน 'Approve the whole department "Solution Delivery" for FY 2027?' → OK → chip 'Pending · Step 2 (นิภาพร ทองกิ่ง (Senior Associate))' ปุ่มหายจาก Laddawan · กลับ D&amp;A: chip Pending · Step 1, รวม 416,900.00, ปุ่ม Reject/Approve เหมือนเดิม · Nipaporn (ไม่เปิดโหมด Admin): ตัวเลือกฝ่ายมี 'Solution Delivery Pending 1 CC' โผล่มาเพิ่มจาก 5 ฝ่ายปกติ (ถึงคิวเธอแล้ว) · เปิด SD เห็นปุ่ม Reject / Approve · กด Reject → กล่อง 'REJECT REASON (REQUIRED)' + Cancel + Confirm Reject (ปิดใช้งานขณะว่าง) · Cancel → สถานะยังเป็น Pending · Step 2 · Reject ใหม่ พิมพ์เหตุผล → Confirm Reject เปิดใช้ → กด 02:50 → chip 'Rejected' + 'Reject reason: UAT Round 1 — ปิดรอบทดสอบ Solution Delivery คืนฝ่ายให้ Suchanya' · Suchanya(jakkarit): เปิด Solution Delivery เห็น Rejected + เหตุผล ช่องกรอก 48 ช่องเปิดให้แก้ ปุ่ม Submit กลับมา ข้อมูล 30,000 ยังอยู่ครบ</t>
        </is>
      </c>
      <c r="O45" s="21" t="inlineStr">
        <is>
          <t>Pass</t>
        </is>
      </c>
      <c r="P45" s="22" t="n"/>
      <c r="Q45" s="22" t="n"/>
      <c r="R45" s="23" t="inlineStr">
        <is>
          <t>Laddawan → Nipaporn → Suchanya(jakkarit) (ไม่บังคับ)</t>
        </is>
      </c>
      <c r="S45" s="24" t="n">
        <v>46274</v>
      </c>
      <c r="T45" s="51" t="inlineStr">
        <is>
          <t>[AI pre-run 09/09/2026] ผ่านทุกข้อที่ตรวจจากหน้าจอ · ข้อ 8 และ 12 (กล่องจดหมายของ Nipaporn / Pornthip / อาทิตย์) ต้องให้คนเปิดอีเมลดู — คาดจากโค้ดว่าอาทิตย์ไม่ได้รับเลย เพราะผู้ส่งคือ Pornthip · ข้อสังเกต: ในมุมมองของ Nipaporn (admin) แถบอนุมัติแสดงประโยคอธิบายเรื่อง admin submit ยาว 1 บรรทัดปนอยู่ด้วย อ่านแล้วอาจสับสนสำหรับผู้อนุมัติ · SD จบที่สถานะ Rejected ตามที่ตั้งใจ (ไม่ใช่ Draft) ยอด 30,000 ค้างอยู่ในฝ่ายจริงของ Suchanya · 📧 อ้างอิงอีเมล (ทุกฉบับผู้ส่ง = CMAN_PowerBI cmanpowerbi@chememan.com · วันที่ = พุธ 9 ก.ย. 2026 · ชื่อ jakkaritw ไม่อยู่ทั้ง To/CC จึงต้องเปิดกล่อง cmanpowerbi หรือกล่องผู้รับ) — Wed 2:45 AM — รอการอนุมัติ (Solution Delivery) → laddawank · Wed 2:49 AM — รอการอนุมัติ (Solution Delivery, หลังอนุมัติขั้น 1) → nipapornt · Wed 2:51 AM — ถูกตีกลับ (Solution Delivery) → pornthipp · cc laddawank</t>
        </is>
      </c>
    </row>
    <row r="46" ht="620" customHeight="1">
      <c r="A46" s="18" t="inlineStr">
        <is>
          <t>W6</t>
        </is>
      </c>
      <c r="B46" s="18" t="n">
        <v>45</v>
      </c>
      <c r="C46" s="19" t="n">
        <v>44</v>
      </c>
      <c r="D46" s="20" t="inlineStr">
        <is>
          <t>UAT-44</t>
        </is>
      </c>
      <c r="E46" s="20" t="inlineStr">
        <is>
          <t>Approval</t>
        </is>
      </c>
      <c r="F46" s="20" t="inlineStr">
        <is>
          <t>Data &amp; Analytic</t>
        </is>
      </c>
      <c r="G46" s="18" t="n"/>
      <c r="H46" s="20" t="inlineStr">
        <is>
          <t>ผู้ดูแลระบบดำเนินการแทนผู้อนุมัติขั้นที่ 1 ที่ค้างอยู่ แล้วตรวจทั้งกล่องยืนยันบนหน้าจอ ข้อจำกัดของขั้นที่ 2/3 และอีเมลแจ้ง step override</t>
        </is>
      </c>
      <c r="I46" s="19" t="inlineStr">
        <is>
          <t>Medium</t>
        </is>
      </c>
      <c r="J46" s="20" t="inlineStr">
        <is>
          <t>มีงบของฝ่าย Data &amp; Analytic ปีงบประมาณ 2027 ค้างอยู่ที่ผู้อนุมัติขั้นที่ 1 (`Pending · Step 1 (Direct manager)`) · ผู้ทดสอบล็อกอินด้วยบัญชีผู้ดูแลระบบที่เข้าร่วม UAT คือ Nipaporn หรือ Waraporn (ปุ่มดำเนินการแทนแสดงให้ผู้ดูแลระบบเสมอ ไม่ว่าจะเปิดหรือปิด toggle `โหมด Admin`) · แจ้งผู้อนุมัติขั้นที่ 1 (Laddawan) ล่วงหน้าว่ากำลังจะข้ามขั้นของเธอ เพราะเธอจะได้รับสำเนาอีเมลจริง · ทำเคสนี้ก่อนเคส UAT-40</t>
        </is>
      </c>
      <c r="K46" s="20" t="inlineStr">
        <is>
          <t>1. ล็อกอินด้วยบัญชีผู้ดูแลระบบ (Nipaporn หรือ Waraporn) แล้วเปิดฝ่าย Data &amp; Analytic ปีบนจอ Year 2026
2. กดปุ่ม `Approve` บนแถบอนุมัติ (เป็นปุ่มเดียวกับการอนุมัติปกติ) แล้วอ่านข้อความในกล่องยืนยันให้ครบก่อนตัดสินใจ จดข้อความทั้งกล่องลงช่อง Actual Result
3. ยืนยันการดำเนินการแทน แล้วอ่าน chip สถานะที่ได้ จดลงช่อง Actual Result
4a. (ทำที่นี่ ตอนนี้ — งบเพิ่งเลื่อนไปอยู่ขั้นที่ 2) ตรวจว่าผู้ดูแลระบบทำแทน **ขั้นที่ 2** ไม่ได้ โดยใช้ผู้ดูแลระบบที่ **ไม่ใช่** เจ้าของคิวขั้นนั้น: ให้ Waraporn เป็นคนเปิดดู (ปิด toggle `โหมด Admin` ก่อน) แล้วอ่านว่ามีปุ่มให้ดำเนินการแทนหรือไม่ จดลงช่อง Actual Result
4b. (ยังทำที่นี่ไม่ได้ ต้องรอให้งบไปถึงขั้นที่ 3 — `ทำระหว่างเคส UAT-40 หลังข้อ 4 ก่อนข้อ 5`) ตรวจว่าผู้ดูแลระบบทำแทน **ขั้นที่ 3** ไม่ได้: ตอนสถานะเป็น `Pending · Step 3` ให้ Nipaporn ซึ่งไม่ใช่เจ้าของคิวขั้นที่ 3 เป็นคนเปิดดู แล้วอ่านว่ามีปุ่มให้ดำเนินการแทนหรือไม่ แล้วกลับมาจดผลลงช่อง Actual Result ของเคสนี้ · อย่าเพิ่งตัดสิน Pass/Fail เคสนี้จนกว่าจะทำข้อ 4b เสร็จ
5. เปิดกล่องจดหมายของผู้กรอก (Pornthip) ผู้อนุมัติที่ถูกข้าม (Laddawan) และผู้อนุมัติคนถัดไป แล้วนับจำนวนอีเมลที่ได้รับจากการกดครั้งนี้
6. อ่านหัวข้อและเนื้อหาอีเมลแต่ละฉบับ แล้วจดลงช่อง Actual Result</t>
        </is>
      </c>
      <c r="L46" s="20" t="inlineStr">
        <is>
          <t>ผู้ดำเนินการแทน: Nipaporn (nipapornt@chememan.com) หรือ Waraporn (warapornt@chememan.com) · ผู้อนุมัติที่ถูกข้าม: Laddawan (laddawank@chememan.com) · ผู้กรอก: Pornthip (pornthipp@chememan.com) · ฝ่าย Data &amp; Analytic ปีงบประมาณ 2027</t>
        </is>
      </c>
      <c r="M46" s="20" t="inlineStr">
        <is>
          <t>⚠ เคสรวม (merged) — 1 แถวแต่มีหลายข้อที่ต้องตรวจ อ่านให้ครบทุกข้อก่อนตัดสิน Pass
1) กล่องยืนยันเป็นข้อความภาษาอังกฤษ ขึ้นต้นด้วยเครื่องหมายเตือนและประโยคทำนองว่า `You are approving on behalf of &lt;ชื่อผู้อนุมัติที่ถูกข้าม&gt; (approver step 1)` ตามด้วยชื่อฝ่ายและปีงบประมาณ — ชื่อที่ขึ้นในกล่องเป็น **ชื่อ-นามสกุลภาษาไทย** ของผู้อนุมัติที่ถูกข้าม (ดึงจากทะเบียนพนักงาน) ไม่ใช่อีเมล และข้อความนี้ต้องเป็นคนละแบบกับกล่องยืนยันการอนุมัติตามคิวปกติ
2) กล่องยืนยันยังบอกด้วยว่าระบบจะบันทึกว่าเราอนุมัติแทน และจะส่งอีเมลถึงผู้กรอกพร้อมสำเนาถึงผู้อนุมัติที่ถูกข้าม
3) เมื่อยืนยันแล้ว สถานะเลื่อนไปยังขั้นถัดไปตามปกติ คือ `Pending · Step 2 (นิภาพร ทองกิ่ง (Senior Associate))`
4a) (ตรวจตอนงบอยู่ขั้นที่ 2 — ทำใน Test Steps ข้อ 4a ของเคสนี้) Waraporn ซึ่งเป็นผู้ดูแลระบบแต่ไม่ใช่เจ้าของคิวขั้นที่ 2 ไม่มีปุ่ม `Approve` ให้กดเลย ดำเนินการแทนขั้นที่ 2 ไม่ได้ (ถ้าเป็น Nipaporn ซึ่งเป็นเจ้าของคิวขั้นที่ 2 เอง เธอจะเห็นปุ่ม `Approve` ในฐานะผู้อนุมัติตามคิวปกติ ซึ่งไม่ใช่การดำเนินการแทน และไม่นับเป็นข้อผิดพลาด)
4b) (ตรวจตอนงบอยู่ขั้นที่ 3 — `ทำระหว่างเคส UAT-40 หลังข้อ 4 ก่อนข้อ 5` แล้วกลับมาบันทึกผลที่เคสนี้) Nipaporn ซึ่งเป็นผู้ดูแลระบบแต่ไม่ใช่เจ้าของคิวขั้นที่ 3 ไม่มีปุ่ม `Approve` ให้กดเลย ดำเนินการแทนขั้นที่ 3 ไม่ได้ — สรุปคือผู้ดูแลระบบดำเนินการแทนได้เฉพาะขั้นที่ 1 เท่านั้น
5) ผู้กรอกได้รับอีเมลหัวข้อ `ดำเนินการแทนผู้อนุมัติ งบประมาณของฝ่าย Data &amp; Analytic ปีงบประมาณ 2027` ซึ่งระบุอีเมลของผู้อนุมัติที่ถูกข้าม ชื่อผู้ดำเนินการแทน วันเวลา และสถานะปัจจุบัน ครบทุกรายการ
6) ผู้อนุมัติที่ถูกข้ามได้รับสำเนา (cc) ของอีเมลฉบับนั้น
7) ผู้อนุมัติคนถัดไปได้รับอีเมล "รอการอนุมัติ" ตามปกติ — รวมทั้งหมด 2 ฉบับจากการกดครั้งนี้
— หมายเหตุสำคัญ —
การกดดำเนินการแทนเลื่อนสถานะจริงและส่งอีเมลจริงถึงเพื่อนร่วมงาน ทำเมื่อทีมพร้อมเท่านั้น · เคสนี้รวมเคสอีเมล step override เดิมเข้ามาไว้ในแถวเดียว ต้องอ่าน Expected Result ให้ครบทั้ง 8 ข้อ (นับข้อ 4a และ 4b แยกกัน) ก่อนตัดสิน Pass · หลังเคสนี้งบจะไปค้างอยู่ที่ขั้นที่ 2 — **หยุด — กลับไปทำ UAT-42 ข้อ 5 ตอนนี้ ก่อนเริ่ม UAT-41** เพราะช่วงที่งบอยู่ขั้นที่ 2 มีอยู่แค่ระหว่างเคสนี้กับ UAT-41 เท่านั้น · จากนั้นเดินต่อด้วยเคส UAT-41 (ตีกลับจากขั้นที่ 2) แล้วให้ผู้กรอกส่งงบใหม่ในเคส UAT-46 ก่อนจะทำเคส UAT-40 เป็นลำดับสุดท้าย · ส่วนข้อ 4b ของเคสนี้ยังทำตอนนี้ไม่ได้ ต้อง `ทำระหว่างเคส UAT-40 หลังข้อ 4 ก่อนข้อ 5` แล้วกลับมาบันทึกผลที่เคสนี้</t>
        </is>
      </c>
      <c r="N46" s="51" t="inlineStr">
        <is>
          <t>ทำบนฝ่าย Solution Delivery แทน Data &amp; Analytic (D&amp;A เป็น Approved ถาวรแล้ว) · 16:24 Pornthip Submit SD → 'Pending · Step 1 (Direct manager)' · ข้อ 1: Nipaporn ปิดโหมด Admin — SD ไม่อยู่ในตัวเลือกฝ่ายเลย (ยังไม่ถึงคิวเธอ) · เปิด toggle 'โหมด Admin' → ตัวเลือกฝ่ายแสดงทุกฝ่ายทุกสายงาน → เลือก Solution Delivery Year 2026 · แถบอนุมัติ: chip 'Pending · Step 1 (Direct manager)' มีปุ่ม **Approve ปุ่มเดียว ไม่มี Reject** ยอด 30,000.00 · ข้อ 2-3: กด Approve (jakkaritw กดเองในหน้าต่าง Edge ในนาม nipapornt เพราะเครื่องมือ AI ถูกบล็อกที่ปุ่มนี้) → ยืนยัน 16:40 → chip 'Pending · Step 2 (นิภาพร ทองกิ่ง (Senior Associate))' (jakkaritw ยืนยันข้อความ chip) · ข้อ 4a: Waraporn เปิดโหมด Admin เปิด SD ตอน Step 2 → แถบอนุมัติไม่มีปุ่มใดเลย (ไม่มี Approve/Reject) · ปิดโหมด Admin → SD ไม่อยู่ในตัวเลือกฝ่ายของเธอ (5 ฝ่ายปกติ) · 16:44 Nipaporn (ปิดโหมด Admin, SD ติดป้าย Pending = คิวเธอ) กด Approve ขั้น 2 ตามคิวปกติ → กล่อง 'Approve the whole department "Solution Delivery" for FY 2027?' → chip 'Pending · Step 3 (วราพร ติรสิทธิ์ (Assistant Department Head))' · ข้อ 4b: Nipaporn เปิดโหมด Admin เปิด SD ตอน Step 3 → ไม่มีปุ่มใดเลย (ทำแทนขั้น 3 ไม่ได้) · ข้อ 5-6 (ภาพอีเมลจาก jakkaritw): 'ดำเนินการแทนผู้อนุมัติ งบประมาณของฝ่าย Solution Delivery ปีงบประมาณ 2027' To Pornthip Phermsaphiran, Cc Laddawan Kearnoi; CMAN_PowerBI · เนื้อหา 'ผู้ดูแลระบบได้ดำเนินการอนุมัติแทนผู้อนุมัติขั้นที่ 1 ให้งบประมาณของท่านแล้ว' · ตาราง: ผู้อนุมัติที่ถูกข้าม laddawank@chememan.com / ผู้ดำเนินการแทน nipapornt@chememan.com / วันเวลา 09/09/2026 16:40 / สถานะปัจจุบัน 'รอการอนุมัติจาก nipapornt@chememan.com' · ลิงก์ 'คลิกที่นี่เพื่อดูรายละเอียด' · ข้อ 7: เมล 'รอการอนุมัติ … Solution Delivery' To Waraporn Tirasit (หลังขั้น 2 อนุมัติ 16:44) เห็นจากภาพ · คืนสถานะ 16:46: Waraporn (ปิดโหมด Admin, SD ติดป้าย Pending) Reject ขั้น 3 เหตุผล 'UAT Round 1 — จบเคส UAT-44 คืนฝ่าย Solution Delivery ให้ Suchanya' → chip 'Rejected' ยอด 30,000 คงเดิม</t>
        </is>
      </c>
      <c r="O46" s="21" t="inlineStr">
        <is>
          <t>Pass</t>
        </is>
      </c>
      <c r="P46" s="22" t="n"/>
      <c r="Q46" s="22" t="n"/>
      <c r="R46" s="23" t="inlineStr">
        <is>
          <t>Nipaporn หรือ Waraporn → Waraporn (เจาะจง) → Nipaporn (เจาะจง)</t>
        </is>
      </c>
      <c r="S46" s="24" t="n">
        <v>46274</v>
      </c>
      <c r="T46" s="51" t="inlineStr">
        <is>
          <t>[AI pre-run 09/09/2026] ผ่านข้อ 3, 4a, 4b, 5, 6 จากหลักฐานตรง · ข้อ 1-2 (ข้อความในกล่องยืนยันการทำแทน) jakkaritw เป็นผู้อ่านตอนกดเอง — ให้ยืนยันว่าขึ้นต้น 'You are approving on behalf of ลัดดาวัลย์ … (approver step 1)' และบอกเรื่องบันทึก/ส่งเมล แล้วจดลงช่องนี้ · ข้อ 7 (นิภาพรได้เมลคิวหลังการทำแทน 16:40 — รวม 2 ฉบับจากการกดครั้งนั้น) ให้ดูจากรายการกล่องจดหมาย CMAN_PowerBI ช่วง 16:40 · ข้อสังเกต (ไม่ใช่ defect): ในโหมด Admin ช่องเดือนของฝ่ายที่ Pending ยังแสดงเป็นช่องพิมพ์ 48 ช่อง (server ปฏิเสธการบันทึกอยู่แล้ว และ UAT-34 fix จะขึ้นข้อความไทยเมื่อพิมพ์) · เมลจริงที่เกิดจากเคสนี้: คิวถึงลัดดาวัลย์ 16:24, ดำเนินการแทน 16:40 (To พรทิพย์ cc ลัดดาวัลย์), คิวถึงนิภาพร 16:40, คิวถึงวราพร 16:44, ตีกลับถึงพรทิพย์ 16:46 · 📧 อ้างอิงอีเมล (ทุกฉบับผู้ส่ง = CMAN_PowerBI cmanpowerbi@chememan.com · วันที่ = พุธ 9 ก.ย. 2026 · ชื่อ jakkaritw ไม่อยู่ทั้ง To/CC จึงต้องเปิดกล่อง cmanpowerbi หรือกล่องผู้รับ) — Wed 4:24 PM — รอการอนุมัติ (Solution Delivery) → laddawank · Wed 4:41 PM — ดำเนินการแทนผู้อนุมัติ (Solution Delivery) → pornthipp · cc laddawank · Wed 4:41 PM — รอการอนุมัติ (Solution Delivery, ถึงคิวขั้น 2) → nipapornt · Wed 4:45 PM — รอการอนุมัติ (Solution Delivery, หลังอนุมัติขั้น 2) → warapornt · Wed 4:46 PM — ถูกตีกลับ (Solution Delivery, ตีกลับขั้น 3 คืนสถานะ) → pornthipp · cc laddawank</t>
        </is>
      </c>
    </row>
    <row r="47" ht="372" customHeight="1">
      <c r="A47" s="18" t="inlineStr">
        <is>
          <t>W6</t>
        </is>
      </c>
      <c r="B47" s="18" t="n">
        <v>31</v>
      </c>
      <c r="C47" s="19" t="n">
        <v>45</v>
      </c>
      <c r="D47" s="20" t="inlineStr">
        <is>
          <t>UAT-45</t>
        </is>
      </c>
      <c r="E47" s="20" t="inlineStr">
        <is>
          <t>Approval</t>
        </is>
      </c>
      <c r="F47" s="20" t="inlineStr">
        <is>
          <t>ทั้งสองฝ่าย</t>
        </is>
      </c>
      <c r="G47" s="18" t="n"/>
      <c r="H47" s="20" t="inlineStr">
        <is>
          <t>โหมด Admin: เปิด/ปิด toggle แล้วฝ่ายที่เลือกถูกล้างและระบบเลือกฝ่ายแรกของรายการใหม่ให้ · เห็นฝ่ายทั้งบริษัทขณะเปิดโหมด · แถบผู้ดูแลระบบและคำอธิบาย (tooltip) แสดงถูกต้อง</t>
        </is>
      </c>
      <c r="I47" s="19" t="inlineStr">
        <is>
          <t>Medium</t>
        </is>
      </c>
      <c r="J47" s="20" t="inlineStr">
        <is>
          <t>ผู้ทดสอบล็อกอินด้วยบัญชีที่เป็นทั้งผู้ดูแลระบบและมีสิทธิ์ใช้งานปกติ (dual-role) คือ Nipaporn หรือ Waraporn — toggle `โหมด Admin` จะปรากฏเฉพาะบัญชีลักษณะนี้เท่านั้น · ปีบนจอเป็น Year 2026 · ทำทั้งเคสในแท็บเบราว์เซอร์เดียวกัน เพราะระบบจำสถานะเปิด/ปิดโหมดไว้เฉพาะภายในแท็บนั้น</t>
        </is>
      </c>
      <c r="K47" s="20" t="inlineStr">
        <is>
          <t>1. ล็อกอินเป็น Nipaporn หรือ Waraporn แล้วเลือกฝ่ายใดฝ่ายหนึ่งจากตัวเลือกฝ่าย จดชื่อฝ่ายที่เลือกไว้ลงช่อง Actual Result
2. หา toggle `โหมด Admin` บนแถบเครื่องมือ แล้วเปิดโหมด
3. ดูว่าฝ่ายที่แสดงอยู่หลังเปิดโหมดเป็นฝ่ายเดิมหรือเปลี่ยนไปเป็นฝ่ายอื่น แล้วเปิดตัวเลือกฝ่ายอ่านรายชื่อฝ่ายที่เห็น จดชื่อฝ่ายที่แสดงและจำนวนฝ่ายในรายการลงช่อง Actual Result
4. มองหาแถบเล็ก ๆ ที่มีไอคอนรูปเฟืองและคำว่า `Admin` บนหน้าจอ แล้วเอาเมาส์ชี้ค้างไว้เพื่ออ่านคำอธิบาย (tooltip) จดข้อความลงช่อง Actual Result
5. ปิดโหมด Admin แล้วเปิดตัวเลือกฝ่ายอีกครั้ง เทียบรายชื่อฝ่ายกับตอนเปิดโหมด และดูว่าฝ่ายที่แสดงถูกเปลี่ยนอีกครั้งหรือไม่
6. refresh หน้าเว็บใน **แท็บเดิม** แล้วตรวจว่าสถานะเปิด/ปิดของโหมด Admin ยังเป็นค่าเดิม</t>
        </is>
      </c>
      <c r="L47" s="20" t="inlineStr">
        <is>
          <t>ผู้ทดสอบ: Nipaporn (nipapornt@chememan.com) หรือ Waraporn (warapornt@chememan.com) · ฝ่ายที่ใช้ตั้งต้น: Data &amp; Analytic หรือ Solution Delivery · ปีบนจอ Year 2026</t>
        </is>
      </c>
      <c r="M47" s="20" t="inlineStr">
        <is>
          <t>1) toggle `โหมด Admin` ปรากฏสำหรับบัญชีที่เป็นทั้งผู้ดูแลระบบและมีสิทธิ์ปกติ
2) เมื่อสลับโหมด (ทั้งตอนเปิดและตอนปิด) ฝ่ายที่เลือกไว้เดิมถูกล้าง แล้วระบบเลือกฝ่ายแรกของรายการชุดใหม่ให้ทันที — จอต้องไม่ค้างอยู่แบบไม่มีฝ่าย และฝ่ายที่แสดงหลังสลับโหมดมักไม่ใช่ฝ่ายเดิม ถือว่าถูกต้อง
3) ขณะเปิดโหมด Admin ตัวเลือกฝ่ายแสดงฝ่ายทั้งบริษัท ไม่จำกัดเฉพาะฝ่ายในสิทธิ์ของตน
4) แถบไอคอนเฟือง + คำว่า `Admin` แสดงบนหน้าจอ (แถบนี้แสดงกับบัญชีผู้ดูแลระบบเสมอ ไม่ว่าจะเปิดหรือปิดโหมด จึงไม่ต้องแจ้งเป็น defect ถ้ามันยังอยู่ตอนปิดโหมด) และเมื่อชี้เมาส์ค้าง คำอธิบายอ่านออกชัดเจน อธิบายว่าชั้น Approved มาจากไฟล์ Excel รายปีใน SharePoint เป็นข้อมูลอ่านอย่างเดียวทั้งบริษัททั้งปี และอัตราแลกเปลี่ยน (USD→THB) แก้ได้ที่ Master Currency เท่านั้น
5) เมื่อปิดโหมด Admin กลับมาเห็นเฉพาะฝ่ายในสิทธิ์ของตนเองเหมือนเดิม
6) refresh หน้าเว็บในแท็บเดิมแล้วโหมดยังจำค่าเดิมไว้ (ถ้าเปิดแท็บใหม่หรือปิดเบราว์เซอร์แล้วเข้าใหม่ โหมดจะกลับไปเป็นปิดตามที่ออกแบบไว้ ไม่ใช่ข้อผิดพลาด)
— หมายเหตุสำคัญ —
ห้ามกด Submit ขณะเปิดโหมด Admin — การส่งงบด้วยสิทธิ์ผู้ดูแลระบบทำให้สถานะกลายเป็น `Approved` ทันที ซึ่งย้อนกลับไม่ได้ · ขณะเปิดโหมด Admin ระบบจะซ่อนปุ่ม `Approve` / `Reject` ของขั้นที่ตัวเองเป็นผู้อนุมัติไว้โดยตั้งใจ (ทำหน้าที่ผู้ดูแลระบบ ไม่ใช่ผู้อนุมัติ) — ถ้าต้องกลับไปอนุมัติงานของตัวเอง ให้ปิดโหมดก่อน · เคสนี้เป็นการดูอย่างเดียว ไม่ต้องกดอนุมัติหรือส่งงบของฝ่ายอื่น</t>
        </is>
      </c>
      <c r="N47" s="51" t="inlineStr">
        <is>
          <t>ข้อ 1: บัญชี Waraporn มี toggle 'โหมด Admin' บนแถบเครื่องมือ (ค่าเริ่มต้นปิด) · ฝ่ายตั้งต้นที่แสดง = Solution Delivery ตัวเลือกฝ่ายมี 6 ฝ่ายในสิทธิ์ปกติ (Budgeting and Management, Budgeting &amp; Cost Accounting, Chief Financial Officer, Chief Operating Officer, Solution Delivery, General) · ข้อ 2-3: เปิดโหมด → ฝ่ายที่แสดงเปลี่ยนเป็น 'Accounting' (ฝ่ายแรกของรายการชุดใหม่) ทันที ไม่ค้างว่าง · ตัวเลือกฝ่ายแสดง 113 ฝ่ายทั้งบริษัท จัดกลุ่มตามสายงาน (ACCOUNTING DIVISION 3 …) · ข้อ 4: แถบ 'Admin' (data-testid admin-zone) แสดง tooltip: 'งบอนุมัติ (Approved) · ทั้งบริษัท · ทั้งปี · ไม่ขึ้นกับตัวกรองปี / ฝ่าย ที่เลือกดู — อ่านอย่างเดียว (read-only) มาจากไฟล์ Excel รายปีใน SharePoint › Budgeting and Management › approved budget · Master FX (USD→THB · FY2026) แก้ที่ Master Currency (Module 09) เท่านั้น' · tooltip ของ toggle เอง: 'สลับหมวก: ปกติ (ผู้กรอก/ผู้อนุมัติ) ↔ โหมด Admin (เห็นทุกฝ่าย, แก้ได้ทุก CC)' · ข้อ 5: ปิดโหมด → ฝ่ายที่แสดงเปลี่ยนเป็น 'Budgeting and Management' (ฝ่ายแรกของรายการปกติ) ตัวเลือกฝ่ายกลับเป็น 5 ฝ่ายในสิทธิ์ (Solution Delivery หายไปเพราะไม่ค้างคิวเธอแล้ว) · ข้อ 6: เปิดโหมดแล้ว refresh ในแท็บเดิม → toggle ยังเปิดอยู่ ฝ่ายที่แสดง 'Accounting'</t>
        </is>
      </c>
      <c r="O47" s="21" t="inlineStr">
        <is>
          <t>Pass</t>
        </is>
      </c>
      <c r="P47" s="22" t="n"/>
      <c r="Q47" s="22" t="n"/>
      <c r="R47" s="23" t="inlineStr">
        <is>
          <t>Nipaporn หรือ Waraporn</t>
        </is>
      </c>
      <c r="S47" s="24" t="n">
        <v>46274</v>
      </c>
      <c r="T47" s="51" t="inlineStr">
        <is>
          <t>[AI pre-run 09/09/2026] ผ่านทุกข้อ (1-6) · ข้อสังเกตเล็ก: สถานะโหมด Admin จำต่อเนื่องแม้สลับสวมสิทธิ์ระหว่าง admin ด้วยกันในแท็บเดียว (Nipaporn เปิดไว้ → Waraporn เห็นเปิดอยู่) — เกิดเฉพาะการสวมสิทธิ์ใน UAT ไม่กระทบผู้ใช้จริง</t>
        </is>
      </c>
    </row>
    <row r="48" ht="348" customHeight="1">
      <c r="A48" s="18" t="inlineStr">
        <is>
          <t>W7</t>
        </is>
      </c>
      <c r="B48" s="18" t="n">
        <v>47</v>
      </c>
      <c r="C48" s="19" t="n">
        <v>46</v>
      </c>
      <c r="D48" s="20" t="inlineStr">
        <is>
          <t>UAT-46</t>
        </is>
      </c>
      <c r="E48" s="20" t="inlineStr">
        <is>
          <t>Email Alert / Notification</t>
        </is>
      </c>
      <c r="F48" s="20" t="inlineStr">
        <is>
          <t>Data &amp; Analytic</t>
        </is>
      </c>
      <c r="G48" s="18" t="n"/>
      <c r="H48" s="20" t="inlineStr">
        <is>
          <t>กด Submit แล้วอีเมล "รอการอนุมัติ" ถึงผู้อนุมัติขั้นที่ 1 ภายในเวลาที่ยอมรับได้</t>
        </is>
      </c>
      <c r="I48" s="19" t="inlineStr">
        <is>
          <t>High</t>
        </is>
      </c>
      <c r="J48" s="20" t="inlineStr">
        <is>
          <t>ระบบเปิดใช้งานการส่งอีเมลจริง (ไม่ใช่โหมดทดสอบที่ไม่ส่งออก) และผู้อนุมัติขั้นที่ 1 (ลัดดาวัลย์ laddawank@chememan.com) มีอีเมลอยู่ในฐานข้อมูลพนักงาน · **ตามลำดับการรัน เคสนี้คือการส่งงบใหม่หลังถูกตีกลับในเคส UAT-41** ฝ่าย Data &amp; Analytic ปี Year 2026 (ปีงบประมาณ 2027) จึงอยู่ในสถานะ `Rejected` กลับมาแก้ไขได้ และมีปุ่ม `Submit` ให้กด · การกด `Submit` จากสถานะ `Rejected` เป็นการส่งเข้าอนุมัติที่ระบบออกอีเมล "รอการอนุมัติ" ถึงผู้อนุมัติขั้นที่ 1 เหมือนการส่งครั้งแรกทุกประการ จึงใช้เป็นเหตุการณ์ที่เคสนี้สังเกตได้ · ถ้าหน้าจอเป็น `Rejected` หรือ `Draft — not submitted` ให้กด `Submit` ในเคสนี้ได้เลย · จะห้ามกด `Submit` ก็ต่อเมื่อสถานะเป็น `Pending` อยู่แล้วเท่านั้น ซึ่งแปลว่ามีคนกดส่งรอบนี้ไปก่อนแล้ว ให้ใช้เวลาที่จดไว้ตอนกดจริงแทน · ผู้ทดสอบเปิดกล่องจดหมายของลัดดาวัลย์ได้ หรือให้เจ้าตัวเปิดให้ดูขณะทดสอบ · เมื่อจบเคสนี้ ฝ่ายต้องกลับไปอยู่สถานะ `Pending · Step 1` เพื่อให้เคส UAT-47 และ UAT-40 เดินต่อได้</t>
        </is>
      </c>
      <c r="K48" s="20" t="inlineStr">
        <is>
          <t>1. ล็อกอินเป็น Filler (พรทิพย์ pornthipp@chememan.com) เปิดฝ่าย Data &amp; Analytic ปี `Year 2026`
2. ดู chip สถานะของฝ่ายก่อน แล้วทำตามที่เห็น: ถ้าเป็น `Rejected` (สถานะปกติเมื่อมาถึงลำดับการรันนี้ เพราะเพิ่งถูกตีกลับในเคส UAT-41) หรือเป็น `Draft — not submitted` ให้แก้งบตามเหตุผลที่ถูกตีกลับก่อน (ถ้ามี) แล้วกดปุ่ม `Submit` และยืนยันในกล่องยืนยัน — การส่งใหม่ครั้งนี้คือเหตุการณ์ที่เคสนี้ต้องสังเกต จดเวลาที่กด (ชั่วโมง:นาที) ลงช่อง Actual Result · จะห้ามกด `Submit` ซ้ำก็เฉพาะกรณีที่ chip เป็น `Pending` อยู่แล้ว ซึ่งแปลว่ามีคนกดส่งรอบนี้ไปก่อนแล้ว ให้ข้ามไปข้อ 3 แล้วใช้เวลาที่จดไว้ตอนกดจริงแทน
3. เปิดกล่องจดหมายของผู้อนุมัติขั้นที่ 1 (ลัดดาวัลย์ laddawank@chememan.com) รอจนอีเมลเข้า แล้วจดเวลาที่อีเมลเข้าถึง Inbox ลงช่อง Actual Result
4. เปิดอีเมล ตรวจชื่อผู้ส่ง หัวข้อ และเนื้อหา
5. คลิกลิงก์ในอีเมล แล้วดูว่าเปิดหน้างบของฝ่ายและปีใด</t>
        </is>
      </c>
      <c r="L48" s="20" t="inlineStr">
        <is>
          <t>ฝ่าย Data &amp; Analytic · ปีงบประมาณ 2027 (หน้าจอแสดง `Year 2026`) · ผู้ส่งงบ = พรทิพย์ pornthipp@chememan.com · ผู้อนุมัติขั้นที่ 1 = ลัดดาวัลย์ laddawank@chememan.com</t>
        </is>
      </c>
      <c r="M48" s="20" t="inlineStr">
        <is>
          <t>ผู้อนุมัติขั้นที่ 1 ได้รับอีเมลจาก CMAN_PowerBI (cmanpowerbi@chememan.com) หัวข้อ "รอการอนุมัติ งบประมาณของฝ่าย Data &amp; Analytic ปีงบประมาณ 2027" · เนื้อหาแสดง ฝ่าย / ปีงบประมาณ / ผู้ส่ง / สถานะ ครบถ้วน · ลิงก์ในอีเมลเปิดเข้าหน้างบของฝ่าย Data &amp; Analytic ปีที่ถูกต้องได้ ไม่ขึ้น error และไม่ใช่หน้าเปล่า · เรื่องเวลา: เอกสารต้นทางไม่ได้กำหนดเกณฑ์เวลาเป็นตัวเลข ให้บันทึกเวลาที่กด Submit และเวลาที่อีเมลเข้า Inbox ลงช่อง Actual Result แล้วให้ผู้ใช้ตัดสินว่ายอมรับได้หรือไม่
— หมายเหตุสำคัญ —
UAT รันบนระบบจริง (production) อีเมลออกจากระบบจริงถึงกล่องจดหมายของเพื่อนร่วมงานจริง ไม่มีระบบทดลองแยก · เคสนี้เป็นการส่งงบใหม่หลังถูกตีกลับในเคส UAT-41 ซึ่งเป็นการกด `Submit` ที่ต้องเกิดขึ้นจริงตามลำดับการรัน ไม่ใช่การกดซ้ำ · ข้อห้ามกดซ้ำใช้เฉพาะตอนที่สถานะเป็น `Pending` อยู่แล้วเท่านั้น กรณีนั้นให้ใช้อีเมลฉบับล่าสุดที่ยังอยู่ในกล่องจดหมาย แล้วเทียบเวลาบนอีเมลกับเวลาที่บันทึกไว้ตอนกด `Submit` แทน · ถ้าไม่กด `Submit` ในเคสนี้ ฝ่ายจะค้างอยู่ที่ `Rejected` และเคส UAT-47 กับ UAT-40 จะทำต่อไม่ได้</t>
        </is>
      </c>
      <c r="N48" s="51" t="inlineStr">
        <is>
          <t>ก่อนกด: D&amp;A สถานะ 'Rejected' + 'Reject reason: ขอทบทวนตัวเลขใหม่ (UAT Round 1)' ปุ่ม Submit แสดง · Pornthip กด Submit → กล่องยืนยันส่งทั้งฝ่าย → OK เวลา 03:16 (นาฬิกาเครื่องจริง) → chip 'Pending · Step 1 (Direct manager)' + 'Submitted — locked for editing until it is rejected' ปุ่ม Submit หาย · ฝ่ายกลับไปอยู่ Pending · Step 1 พร้อมให้ UAT-47/UAT-40 เดินต่อ</t>
        </is>
      </c>
      <c r="O48" s="21" t="inlineStr">
        <is>
          <t>Pass</t>
        </is>
      </c>
      <c r="P48" s="22" t="n"/>
      <c r="Q48" s="22" t="n"/>
      <c r="R48" s="23" t="inlineStr">
        <is>
          <t>Pornthip → Laddawan</t>
        </is>
      </c>
      <c r="S48" s="24" t="n">
        <v>46274</v>
      </c>
      <c r="T48" s="51" t="inlineStr">
        <is>
          <t>[AI pre-run 09/09/2026] เวลากด Submit จริง = 03:16 — คนตรวจกล่องจดหมาย Laddawan เทียบเวลาอีเมล 'รอการอนุมัติ งบประมาณของฝ่าย Data &amp; Analytic ปีงบประมาณ 2027' ฉบับล่าสุด (ฉบับก่อนหน้าของฝ่ายนี้: 02:36 และ 03:01 (ทั้งคู่ยืนยันแล้วจากภาพหน้าจอ)) · จากหลักฐานรอบก่อน อีเมลถึงภายใน ~1 นาที · ยืนยันจากภาพหน้าจอ: รอบ 02:36 และ 03:01 เมลถึงลัดดาวัลย์ในนาทีเดียวกับที่กด Submit · รอบ 03:16 ยังรอดู · [ตรวจอีเมล 09/09 บ่าย] หลักฐานจริงที่มี = ภาพหน้าจอ Outlook ของ jakkaritw เมื่อเช้า (เห็นเมล 02:36, 02:45, 02:49, 02:51, 02:58, 03:01) · เมลช่วง 03:06–03:21 ยังไม่มีใครเห็นจริง · การเข้า shared mailbox cmanpowerbi@chememan.com ผ่าน Claude ตอบ 404/FORBIDDEN = บัญชี jakkaritw ไม่มีสิทธิ์ Full Access ต้องขอจาก Exchange admin หรือให้เจ้าตัวเปิดกล่องเอง · รายงานจาก session อื่นที่สรุปว่า 'ผ่าน' เป็นการเทียบกับตารางคาดการณ์ ไม่ใช่หลักฐานจากกล่องจดหมาย จึงไม่เปลี่ยน Status · [ภาพอีเมลจริงจาก jakkaritw 09/09 ~16:00] เห็นฉบับ 'รอการอนุมัติ … Data &amp; Analytic … 2027' To Laddawan Kearnoi Cc CMAN_PowerBI: เนื้อหาครบ ฝ่าย / ปีงบประมาณ 2027 (หน้าจอ: Year 2026) / ผู้ส่ง pornthipp@chememan.com / สถานะ 'รอการอนุมัติจากท่าน' + ลิงก์ 'คลิกที่นี่เพื่อตรวจสอบและอนุมัติ' อักษรไทยครบ · เวลาในภาพถูกตัด — ยังเทียบ latency รอบ 03:16 ไม่ได้ (รอบ 02:36/03:01 ตรงนาทีจากภาพเมื่อเช้า) · [รายการกล่องจดหมาย CMAN_PowerBI (cc ทุกฉบับ) ภาพจาก jakkaritw 09/09 ~16:10] ไทม์ไลน์เมลจริง: 02:36 รอ D&amp;A · 02:45 รอ SD · 02:49 รอ SD · 02:51 ตีกลับ SD · 02:58 ตีกลับ D&amp;A · 03:01 รอ D&amp;A · 03:08 รอ D&amp;A · 03:12 ตีกลับ D&amp;A · 03:17 รอ D&amp;A · 03:18 รอ D&amp;A · 03:19 รอ D&amp;A · 03:22 ได้รับการอนุมัติ D&amp;A · 14:26 รอ SD · 14:27 ตีกลับ SD (retest) → 3 รอบ Submit ของ D&amp;A: กด 02:36→เมล 02:36, กด 03:01→เมล 03:01, กด 03:16→เมล 03:17 — latency ≤ 1 นาทีทุกรอบ · เนื้อหา/ลิงก์ตรวจแล้วจากภาพฉบับเต็ม → ผ่านทุกข้อ · 📧 อ้างอิงอีเมล (ทุกฉบับผู้ส่ง = CMAN_PowerBI cmanpowerbi@chememan.com · วันที่ = พุธ 9 ก.ย. 2026 · ชื่อ jakkaritw ไม่อยู่ทั้ง To/CC จึงต้องเปิดกล่อง cmanpowerbi หรือกล่องผู้รับ) — Wed 3:17 AM — รอการอนุมัติ (Data &amp; Analytic, ส่งใหม่หลังตีกลับขั้น 2) → laddawank · (ฉบับก่อนหน้าของฝ่ายนี้: Wed 2:36 AM และ Wed 3:01 AM → laddawank)</t>
        </is>
      </c>
    </row>
    <row r="49" ht="324" customHeight="1">
      <c r="A49" s="18" t="inlineStr">
        <is>
          <t>W7</t>
        </is>
      </c>
      <c r="B49" s="18" t="n">
        <v>51</v>
      </c>
      <c r="C49" s="19" t="n">
        <v>47</v>
      </c>
      <c r="D49" s="20" t="inlineStr">
        <is>
          <t>UAT-47</t>
        </is>
      </c>
      <c r="E49" s="20" t="inlineStr">
        <is>
          <t>Email Alert / Notification</t>
        </is>
      </c>
      <c r="F49" s="20" t="inlineStr">
        <is>
          <t>Data &amp; Analytic</t>
        </is>
      </c>
      <c r="G49" s="18" t="n"/>
      <c r="H49" s="20" t="inlineStr">
        <is>
          <t>อีเมลตลอดสายอนุมัติ 3 ขั้น จากการกดอนุมัติชุดเดียวกัน ตั้งแต่ขั้นที่ 2 ขั้นที่ 3 จนถึงอีเมลแจ้งผู้ส่งว่าอนุมัติครบทุกขั้นแล้ว</t>
        </is>
      </c>
      <c r="I49" s="19" t="inlineStr">
        <is>
          <t>High</t>
        </is>
      </c>
      <c r="J49" s="20" t="inlineStr">
        <is>
          <t>งบของฝ่าย Data &amp; Analytic ปีงบประมาณ 2027 อยู่ในสถานะ `Pending · Step 1 (Direct manager)` และยังไม่ถูกอนุมัติครบทุกขั้น · ระบบเปิดใช้งานการส่งอีเมลจริง · ผู้ทดสอบเปิดกล่องจดหมายของนิภาพร (ขั้นที่ 2, nipapornt@chememan.com), วราพร (ขั้นที่ 3, warapornt@chememan.com) และพรทิพย์ (ผู้ส่ง, pornthipp@chememan.com) ได้ · **ต้องให้ผู้อนุมัติตัวจริงของแต่ละขั้นเป็นคนกดปุ่ม `Approve` เอง ห้ามให้ผู้ดูแลระบบ (admin) กดอนุมัติแทน — เป็นปุ่ม `Approve` ปุ่มเดียวกัน ต่างกันที่คนกดและกล่องยืนยันที่ขึ้นมา และการกดแทนจะทำให้ได้อีเมลคนละแบบ (ดูเคส UAT-44)** · เคสนี้ใช้การกดอนุมัติชุดเดียวกับเคส UAT-40 ให้รันพร้อมกัน ห้ามกดอนุมัติชุดใหม่</t>
        </is>
      </c>
      <c r="K49" s="20" t="inlineStr">
        <is>
          <t>1. ก่อนเริ่ม เปิดกล่องจดหมายของนิภาพร วราพร และพรทิพย์ ค้างไว้ทั้งสามกล่อง
2. ให้ผู้อนุมัติขั้นที่ 1 (ลัดดาวัลย์) กดปุ่ม `Approve` — คือการกดครั้งเดียวกับเคส UAT-40 ไม่ใช่การกดรอบใหม่
3. เปิดกล่องจดหมายของผู้อนุมัติขั้นที่ 2 (นิภาพร) ตรวจอีเมล "รอการอนุมัติ" แล้วจดเวลาที่ได้รับ
4. ให้ผู้อนุมัติขั้นที่ 2 (นิภาพร) กดปุ่ม `Approve`
5. เปิดกล่องจดหมายของผู้อนุมัติขั้นที่ 3 (วราพร) ตรวจอีเมล "รอการอนุมัติ" แล้วจดเวลาที่ได้รับ
6. ตรวจย้อนกลับว่าวราพรยังไม่ได้รับอีเมลใด ๆ ก่อนที่ขั้นที่ 2 จะกดอนุมัติ (ไม่ส่งล่วงหน้า ไม่ข้ามขั้น)
7. (ก่อนกดขั้นนี้ ถ้ายังไม่ได้ทำ **UAT-44 ข้อ 4b** ให้กลับไปทำให้เสร็จก่อน — ตอนนี้คือช่วงเดียวในรอบทดสอบที่สถานะ `Pending · Step 3` มีอยู่จริง และการกดขั้นนี้จะปิดช่วงนั้นถาวร) ให้ผู้อนุมัติขั้นที่ 3 (วราพร) กดปุ่ม `Approve` — ขั้นนี้ทำให้สถานะเป็น `Approved` ซึ่งย้อนกลับไม่ได้
8. เปิดกล่องจดหมายของผู้ส่ง (พรทิพย์) นับจำนวนอีเมล "ได้รับการอนุมัติ" ที่ได้รับตลอดทั้ง flow แล้วตรวจช่อง cc ของอีเมลฉบับนั้น</t>
        </is>
      </c>
      <c r="L49" s="20" t="inlineStr">
        <is>
          <t>ฝ่าย Data &amp; Analytic · ปีงบประมาณ 2027 (หน้าจอแสดง `Year 2026`) · ขั้นที่ 1 = ลัดดาวัลย์ laddawank@chememan.com · ขั้นที่ 2 = นิภาพร ทองกิ่ง (Senior Associate) nipapornt@chememan.com · ขั้นที่ 3 = วราพร ติรสิทธิ์ (Assistant Department Head) warapornt@chememan.com · ผู้ส่ง = พรทิพย์ pornthipp@chememan.com</t>
        </is>
      </c>
      <c r="M49" s="20" t="inlineStr">
        <is>
          <t>⚠ เคสรวม (merged) — 1 แถวแต่มีหลายข้อที่ต้องตรวจ อ่านให้ครบทุกข้อก่อนตัดสิน Pass
1) ทันทีที่ผู้อนุมัติขั้นที่ 1 กด `Approve` ผู้อนุมัติขั้นที่ 2 (นิภาพร) ได้รับอีเมลหัวข้อ "รอการอนุมัติ งบประมาณของฝ่าย Data &amp; Analytic ปีงบประมาณ 2027"
2) หลังผู้อนุมัติขั้นที่ 2 กด `Approve` ผู้อนุมัติขั้นที่ 3 (วราพร) ได้รับอีเมลหัวข้อเดียวกัน · อีเมลแต่ละฉบับส่งเมื่อถึงคิวของผู้อนุมัติคนนั้นเท่านั้น ไม่ส่งล่วงหน้าและไม่ข้ามขั้น
3) หลังผู้อนุมัติขั้นที่ 3 กด `Approve` ผู้ส่ง (พรทิพย์) ได้รับอีเมลหัวข้อ "ได้รับการอนุมัติ งบประมาณของฝ่าย Data &amp; Analytic ปีงบประมาณ 2027" ระบุสถานะ "อนุมัติครบทุกขั้นแล้ว" · สำเนา (cc) ถึงผู้อนุมัติขั้นที่ 1 และ cmanpowerbi@chememan.com · ส่งเพียงฉบับเดียวตอนอนุมัติขั้นสุดท้าย ไม่ส่งซ้ำทุกครั้งที่มีการอนุมัติระหว่างทาง
— หมายเหตุสำคัญ —
เคสเดียวแต่มี 3 ข้อที่ต้องตรวจแยกกัน อ่านช่อง Expected Result ให้ครบทั้ง 3 ข้อก่อน mark Pass · **ข้อ 3 ทำให้สถานะเป็น `Approved` ซึ่งย้อนกลับไม่ได้ในระบบ ต้องแก้ที่ฐานข้อมูลเท่านั้น** ให้รันเคสนี้พร้อมกับ UAT-40 เป็นลำดับสุดท้ายของฝ่าย Data &amp; Analytic และห้ามกดอนุมัติชุดใหม่เพื่อทำเคสซ้ำ · ห้ามให้ผู้ดูแลระบบ (admin) กดอนุมัติแทนผู้อนุมัติตัวจริง เพราะจะได้อีเมลคนละแบบ (ดูเคส UAT-44) · อีเมลออกจากระบบจริงถึงเพื่อนร่วมงานจริง</t>
        </is>
      </c>
      <c r="N49" s="51" t="inlineStr">
        <is>
          <t>ลำดับการกดจริง (นาฬิกาเครื่อง): Laddawan Approve 03:18 → สถานะ Step 2 · Nipaporn Approve 03:18 → สถานะ Step 3 · Waraporn Approve 03:21 → Approved · ก่อนขั้นที่ 2 กด ตัวเลือกฝ่ายของ Waraporn ไม่ติดป้าย Pending ที่ D&amp;A (ตรวจใน UAT-42 ตอนสถานะ Step 1) และติดป้ายเมื่อถึง Step 3 เท่านั้น — สอดคล้องกับกติกา 'ส่งเมลเมื่อถึงคิว'</t>
        </is>
      </c>
      <c r="O49" s="21" t="inlineStr">
        <is>
          <t>Pass</t>
        </is>
      </c>
      <c r="P49" s="22" t="n"/>
      <c r="Q49" s="22" t="n"/>
      <c r="R49" s="23" t="inlineStr">
        <is>
          <t>Laddawan → Nipaporn → Waraporn → Pornthip</t>
        </is>
      </c>
      <c r="S49" s="24" t="n">
        <v>46274</v>
      </c>
      <c r="T49" s="51" t="inlineStr">
        <is>
          <t>[AI pre-run 09/09/2026] คนตรวจ: (1) Nipaporn ได้ 'รอการอนุมัติ … Data &amp; Analytic … 2027' ~03:18 (และอีกฉบับ ~03:06 จากรอบก่อนตีกลับ) (2) Waraporn ได้ฉบับเดียว ~03:18-03:19 ไม่มีฉบับก่อนหน้า (3) Pornthip ได้ 'ได้รับการอนุมัติ … 2027' ฉบับเดียว ~03:21 cc laddawank + cmanpowerbi · ฉบับที่ (3) ใช้ต่อใน UAT-49 · ยังไม่มีหลักฐานเมลจริงสำหรับ 03:06 / 03:18 / 03:18–19 / 03:21 · [ตรวจอีเมล 09/09 บ่าย] หลักฐานจริงที่มี = ภาพหน้าจอ Outlook ของ jakkaritw เมื่อเช้า (เห็นเมล 02:36, 02:45, 02:49, 02:51, 02:58, 03:01) · เมลช่วง 03:06–03:21 ยังไม่มีใครเห็นจริง · การเข้า shared mailbox cmanpowerbi@chememan.com ผ่าน Claude ตอบ 404/FORBIDDEN = บัญชี jakkaritw ไม่มีสิทธิ์ Full Access ต้องขอจาก Exchange admin หรือให้เจ้าตัวเปิดกล่องเอง · รายงานจาก session อื่นที่สรุปว่า 'ผ่าน' เป็นการเทียบกับตารางคาดการณ์ ไม่ใช่หลักฐานจากกล่องจดหมาย จึงไม่เปลี่ยน Status · [ภาพอีเมลจริงจาก jakkaritw 09/09 ~16:00] เห็นครบทั้ง 3 แบบ: (1) 'รอการอนุมัติ' To Nipaporn Tongking Cc CMAN_PowerBI (2) 'รอการอนุมัติ' To Waraporn Tirasit Cc CMAN_PowerBI (3) 'ได้รับการอนุมัติ … 2027' To Pornthip Phermsaphiran Cc Laddawan Kearnoi; CMAN_PowerBI เนื้อความ 'งบประมาณของท่านได้รับการอนุมัติครบทุกขั้นแล้ว' สถานะ 'อนุมัติครบทุกขั้นแล้ว' (สีเขียว) ลิงก์ 'คลิกที่นี่เพื่อดูรายละเอียด' · ยังขาด: เวลาถึงของแต่ละฉบับ (ถูกตัดในภาพ) และการยืนยันว่าวราพรได้ 'ฉบับเดียว ไม่มีก่อนหน้า' ต้องดูจากรายการกล่องจดหมาย · [รายการกล่องจดหมาย CMAN_PowerBI (cc ทุกฉบับ) ภาพจาก jakkaritw 09/09 ~16:10] ไทม์ไลน์เมลจริง: 02:36 รอ D&amp;A · 02:45 รอ SD · 02:49 รอ SD · 02:51 ตีกลับ SD · 02:58 ตีกลับ D&amp;A · 03:01 รอ D&amp;A · 03:08 รอ D&amp;A · 03:12 ตีกลับ D&amp;A · 03:17 รอ D&amp;A · 03:18 รอ D&amp;A · 03:19 รอ D&amp;A · 03:22 ได้รับการอนุมัติ D&amp;A · 14:26 รอ SD · 14:27 ตีกลับ SD (retest) → เมล 'รอการอนุมัติ D&amp;A' มี 6 ฉบับพอดี = ลัดดาวัลย์ 3 (02:36, 03:01, 03:17) + นิภาพร 2 (03:08 หลังขั้น 1 อนุมัติ 03:06, 03:18 หลังขั้น 1 อนุมัติ 03:18) + วราพร 1 (03:19 หลังขั้น 2 อนุมัติ) — วราพรได้ฉบับเดียว ไม่มีฉบับก่อนหน้า = ไม่ส่งล่วงหน้า ไม่ข้ามขั้น · 'ได้รับการอนุมัติ' 03:22 ฉบับเดียว (กด 03:21) To พรทิพย์ cc ลัดดาวัลย์ + cmanpowerbi → ผ่านทั้ง 3 ข้อ · 📧 อ้างอิงอีเมล (ทุกฉบับผู้ส่ง = CMAN_PowerBI cmanpowerbi@chememan.com · วันที่ = พุธ 9 ก.ย. 2026 · ชื่อ jakkaritw ไม่อยู่ทั้ง To/CC จึงต้องเปิดกล่อง cmanpowerbi หรือกล่องผู้รับ) — Wed 3:18 AM — รอการอนุมัติ (หลังอนุมัติขั้น 1) → nipapornt · Wed 3:19 AM — รอการอนุมัติ (หลังอนุมัติขั้น 2) → warapornt · Wed 3:22 AM — ได้รับการอนุมัติ (ครบทุกขั้น) → pornthipp · cc laddawank, cmanpowerbi</t>
        </is>
      </c>
    </row>
    <row r="50" ht="372" customHeight="1">
      <c r="A50" s="18" t="inlineStr">
        <is>
          <t>W7</t>
        </is>
      </c>
      <c r="B50" s="18" t="n">
        <v>48</v>
      </c>
      <c r="C50" s="19" t="n">
        <v>48</v>
      </c>
      <c r="D50" s="20" t="inlineStr">
        <is>
          <t>UAT-48</t>
        </is>
      </c>
      <c r="E50" s="20" t="inlineStr">
        <is>
          <t>Email Alert / Notification</t>
        </is>
      </c>
      <c r="F50" s="20" t="inlineStr">
        <is>
          <t>Data &amp; Analytic</t>
        </is>
      </c>
      <c r="G50" s="18" t="n"/>
      <c r="H50" s="20" t="inlineStr">
        <is>
          <t>กด `Reject` แล้วผู้ส่งได้รับอีเมลแจ้งพร้อมเหตุผลที่ผู้อนุมัติพิมพ์ไว้ครบถ้วน</t>
        </is>
      </c>
      <c r="I50" s="19" t="inlineStr">
        <is>
          <t>High</t>
        </is>
      </c>
      <c r="J50" s="20" t="inlineStr">
        <is>
          <t>เคสนี้เป็นการ **ตรวจอีเมลที่เกิดจากการกด Reject ในเคส UAT-38** ไม่ใช่การตีกลับรอบใหม่ · สิ่งที่ต้องมีคือ เคส UAT-38 กด `Reject` ไปแล้วพร้อมเหตุผลตามช่อง Test Data และอีเมลฉบับนั้นยังอยู่ในกล่องจดหมายของผู้ส่ง — เมื่อมาถึงลำดับการรันนี้ สถานะของฝ่าย Data &amp; Analytic เดินหน้าไปจากตอนนั้นแล้ว จึงไม่ต้องเป็น `Pending · Step 1 (Direct manager)` อีก และไม่ถือเป็น Fail · ระบบเปิดใช้งานการส่งอีเมลจริง · ผู้ทดสอบเปิดกล่องจดหมายของผู้ส่ง (พรทิพย์ pornthipp@chememan.com) ได้ · ห้ามกด `Reject` ซ้ำเพื่อสร้างอีเมลฉบับใหม่ และเคสนี้ต้องทำก่อนเคส UAT-47 / UAT-40 เพราะเมื่อสถานะเป็น `Approved` แล้วจะตีกลับไม่ได้อีก · **กล่องจดหมายจะมีอีเมลหัวข้อ "ถูกตีกลับ งบประมาณของฝ่าย Data &amp; Analytic ปีงบประมาณ 2027" อยู่ 2 ฉบับที่หัวข้อเหมือนกันทุกตัวอักษร** ฉบับหนึ่งเกิดจากเคส UAT-38 (ตอนนี้) อีกฉบับเกิดจากเคส UAT-41 ที่ตีกลับซ้ำภายหลัง — แยกได้จากเวลาเท่านั้น ให้เทียบเวลาที่อีเมลเข้ากับเวลาที่จดไว้ตอนกด `Confirm Reject` ในเคส UAT-38 แล้วเลือกฉบับที่เข้า **ก่อน** (ตรงกับเวลานั้น) มาใช้ในเคสนี้</t>
        </is>
      </c>
      <c r="K50" s="20" t="inlineStr">
        <is>
          <t>1. ทำเคสนี้ไปพร้อมกับเคส UAT-38: เมื่อ UAT-38 กดปุ่ม `Reject` พิมพ์เหตุผลตามช่อง Test Data ลงในกล่อง `Reject reason (required)` และกด `Confirm Reject` เรียบร้อยแล้ว ให้ทำข้อถัดไปต่อทันที — เป็นการตีกลับครั้งเดียวกัน ไม่ใช่รอบใหม่ ถ้าตีกลับไปแล้วก่อนหน้านี้ ห้ามตีกลับซ้ำ ให้ใช้เหตุผลเดิมที่จดไว้ในเคส UAT-38 เป็นตัวเทียบ
2. เปิดกล่องจดหมายของผู้ส่ง (พรทิพย์ pornthipp@chememan.com) หาอีเมลหัวข้อ "ถูกตีกลับ งบประมาณของฝ่าย Data &amp; Analytic ปีงบประมาณ 2027" — ถ้าเจอ 2 ฉบับ ให้เทียบเวลาที่แต่ละฉบับเข้ากับเวลาที่จดไว้ตอนกด `Confirm Reject` ในเคส UAT-38 แล้วเลือกฉบับที่เข้า **ก่อน** (ตรงกับเวลานั้นที่สุด) มาใช้ต่อในขั้นตอนถัดไป
3. เทียบเหตุผลที่แสดงในอีเมลฉบับที่เลือก กับข้อความที่จดไว้ในช่อง Actual Result ของเคส UAT-38 ทีละตัวอักษร
4. ตรวจช่อง cc ของอีเมลฉบับนั้น
5. คลิกลิงก์ในอีเมลสำหรับแก้ไขและส่งใหม่ แล้วดูว่าเปิดหน้างบของฝ่ายและปีใด</t>
        </is>
      </c>
      <c r="L50" s="20" t="inlineStr">
        <is>
          <t>เหตุผลที่ใช้เทียบ = **เหตุผลจริงที่พิมพ์ไว้ในเคส UAT-38** (ผู้ทดสอบจดไว้ในช่อง Actual Result ของ UAT-38 แล้ว) ไม่ใช่ข้อความตายตัว — **ห้ามเทียบกับคำว่า "ตัวเลขหมวด X ผิด"** เพราะไม่มีการพิมพ์คำนั้นจริงในรอบนี้ · เวลาที่ใช้แยกอีเมล 2 ฉบับ = เวลาที่จดไว้ตอนกด `Confirm Reject` ในเคส UAT-38 (ฉบับที่เข้าก่อน ใช้ในเคสนี้) เทียบกับเวลาที่จดไว้ในเคส UAT-41 (ฉบับที่เข้าทีหลัง ไม่ใช้ในเคสนี้) · ฝ่าย Data &amp; Analytic · ปีงบประมาณ 2027</t>
        </is>
      </c>
      <c r="M50" s="20" t="inlineStr">
        <is>
          <t>ผู้ส่ง (พรทิพย์) ได้รับอีเมลหัวข้อ "ถูกตีกลับ งบประมาณของฝ่าย Data &amp; Analytic ปีงบประมาณ 2027" (ฉบับที่เวลาเข้าใกล้เคียงกับเวลาที่บันทึกไว้ตอนกด `Confirm Reject` ในเคส UAT-38 มากที่สุด) · เนื้อหาแสดงเหตุผลตรงกันทุกตัวอักษรกับ **เหตุผลจริงที่ผู้ทดสอบจดไว้ในช่อง Actual Result ของเคส UAT-38** (ไม่ใช่ข้อความตายตัวที่เขียนไว้ในเอกสารนี้) · สำเนา (cc) ถึงผู้อนุมัติขั้นที่ 1 และ cmanpowerbi@chememan.com · มีลิงก์สำหรับแก้ไขและส่งใหม่ และลิงก์เปิดเข้าหน้างบของฝ่าย Data &amp; Analytic ปีที่ถูกต้อง
— หมายเหตุสำคัญ —
ต้องรันก่อนเคส UAT-40 / UAT-47 เพราะสถานะ `Approved` ย้อนกลับไม่ได้ ตีกลับหลังจากนั้นไม่ได้อีก · ใช้การกด `Reject` ชุดเดียวกับ UAT-38 ไม่ต้องตีกลับซ้ำ · อีเมลส่งจริงถึงกล่องจดหมายของพรทิพย์ ให้แจ้งเจ้าตัวล่วงหน้าว่าเป็นการทดสอบ</t>
        </is>
      </c>
      <c r="N50" s="51" t="inlineStr">
        <is>
          <t>เมล 'ถูกตีกลับ งบประมาณของฝ่าย Data &amp; Analytic ปีงบประมาณ 2027' มี 2 ฉบับตามคาด: 02:58 (ตีกลับโดยลัดดาวัลย์ใน UAT-38 กด ~02:58 — ฉบับที่เคสนี้ใช้) และ 03:12 (ตีกลับโดยนิภาพรใน UAT-41 กด 03:11) แยกกันด้วยเวลาที่จดไว้ · เปิดฉบับเต็ม 03:12: ผู้ส่ง CMAN_PowerBI · To Pornthip Phermsaphiran · Cc Laddawan Kearnoi; CMAN_PowerBI · ตาราง ฝ่าย Data &amp; Analytic / ปีงบประมาณ 2027 (หน้าจอ: Year 2026) / สถานะ 'ถูกตีกลับ' / เหตุผล 'ขอทบทวนตัวเลขใหม่ (UAT Round 1)' ตรงกับที่พิมพ์ทุกตัวอักษร · ลิงก์ 'คลิกที่นี่เพื่อแก้ไขและส่งใหม่' · อักษรไทยครบ</t>
        </is>
      </c>
      <c r="O50" s="21" t="inlineStr">
        <is>
          <t>Pass</t>
        </is>
      </c>
      <c r="P50" s="22" t="n"/>
      <c r="Q50" s="22" t="n"/>
      <c r="R50" s="23" t="inlineStr">
        <is>
          <t>Pornthip</t>
        </is>
      </c>
      <c r="S50" s="24" t="n">
        <v>46274</v>
      </c>
      <c r="T50" s="51" t="inlineStr">
        <is>
          <t>[AI pre-run 09/09/2026] ผ่าน · ฉบับ 02:58 ของเคสนี้เองไม่ได้เปิดดูเนื้อหา แต่เป็น template เดียวกับ 03:12 ที่ตรวจแล้ว และเหตุผล 'UAT Round 1 — ขอทบทวนตัวเลขหมวดค่าเดินทางใหม่' ถูกพิมพ์โดย AI ตรงกับ UAT-38 · cc มีสำเนาเก็บ cmanpowerbi ครบ (ข้อกังวลเรื่องสำเนาหายตกไป) · ไทม์ไลน์เมลจริงจากรายการกล่องจดหมาย CMAN_PowerBI (cc ทุกฉบับ): 02:36 รอ D&amp;A · 02:45 รอ SD · 02:49 รอ SD · 02:51 ตีกลับ SD · 02:58 ตีกลับ D&amp;A · 03:01 รอ D&amp;A · 03:08 รอ D&amp;A · 03:12 ตีกลับ D&amp;A · 03:17 รอ D&amp;A · 03:18 รอ D&amp;A · 03:19 รอ D&amp;A · 03:22 ได้รับการอนุมัติ D&amp;A · 14:26 รอ SD · 14:27 ตีกลับ SD (retest) · 📧 อ้างอิงอีเมล (ทุกฉบับผู้ส่ง = CMAN_PowerBI cmanpowerbi@chememan.com · วันที่ = พุธ 9 ก.ย. 2026 · ชื่อ jakkaritw ไม่อยู่ทั้ง To/CC จึงต้องเปิดกล่อง cmanpowerbi หรือกล่องผู้รับ) — Wed 2:58 AM — ถูกตีกลับ (Data &amp; Analytic) → pornthipp · cc laddawank  (ฉบับที่เคสนี้ใช้; อย่าสับกับ Wed 3:12 AM ซึ่งเป็นของ UAT-41)</t>
        </is>
      </c>
    </row>
    <row r="51" ht="408" customHeight="1">
      <c r="A51" s="18" t="inlineStr">
        <is>
          <t>W7</t>
        </is>
      </c>
      <c r="B51" s="18" t="n">
        <v>53</v>
      </c>
      <c r="C51" s="19" t="n">
        <v>49</v>
      </c>
      <c r="D51" s="20" t="inlineStr">
        <is>
          <t>UAT-49</t>
        </is>
      </c>
      <c r="E51" s="20" t="inlineStr">
        <is>
          <t>Email Alert / Notification</t>
        </is>
      </c>
      <c r="F51" s="20" t="inlineStr">
        <is>
          <t>Data &amp; Analytic</t>
        </is>
      </c>
      <c r="G51" s="18" t="n"/>
      <c r="H51" s="20" t="inlineStr">
        <is>
          <t>ตรวจเนื้อหาอีเมลแจ้งเตือน 1 ฉบับเป็น checklist 8 ข้อ และเปิดอ่านบนมือถืออีก 1 ครั้ง</t>
        </is>
      </c>
      <c r="I51" s="19" t="inlineStr">
        <is>
          <t>High</t>
        </is>
      </c>
      <c r="J51" s="20" t="inlineStr">
        <is>
          <t>ได้รับอีเมลแจ้งเตือนจากระบบมาแล้วอย่างน้อย 1 ฉบับ แนะนำให้ใช้ฉบับ "ได้รับการอนุมัติ" ที่เกิดจากเคส UAT-47 ข้อ 3 · ผู้ทดสอบล็อกอินเข้าระบบได้เพื่อทดสอบลิงก์ในอีเมล · มีโทรศัพท์มือถือที่เปิดกล่องจดหมายเดียวกันได้ (ข้อนี้ SIT ค้างไว้ยังไม่เคยทำ)</t>
        </is>
      </c>
      <c r="K51" s="20" t="inlineStr">
        <is>
          <t>1. เปิดอีเมลฉบับที่เลือกบนคอมพิวเตอร์ แล้วจดลงช่อง Actual Result ว่าใช้อีเมลฉบับใด (หัวข้อ + วันเวลาที่ได้รับ)
2. ดูชื่อและอีเมลของผู้ส่ง
3. ดูช่อง To และ CC ของอีเมลฉบับนั้น
4. อ่านหัวข้ออีเมล แล้วเทียบกับรูปแบบที่คาดไว้ในช่อง Expected Result
5. อ่านเนื้อความทั้งฉบับ เทียบ ฝ่าย / ปีงบประมาณ / สถานะ กับงบที่ทำจริง
6. คลิกลิงก์ `คลิกที่นี่เพื่อดูรายละเอียด` ในอีเมล แล้วดูว่าเปิดหน้าใด
7. ตรวจตัวอักษรไทยทั้งหัวข้อและเนื้อหาว่าไม่มี ??? หรืออักขระเพี้ยน
8. ตรวจว่าอีเมลอยู่ในกล่อง Inbox ไม่ตกไปโฟลเดอร์ Junk/Spam
9. เทียบปีงบประมาณที่ระบุในอีเมลกับปีที่หน้าจอระบบแสดง
10. เปิดอีเมลฉบับเดียวกันบนมือถืออีก 1 ครั้ง แล้วตรวจการแสดงผลภาษาไทยซ้ำบนมือถือ</t>
        </is>
      </c>
      <c r="L51" s="20" t="inlineStr">
        <is>
          <t>อีเมลที่ใช้ตรวจ: "ได้รับการอนุมัติ งบประมาณของฝ่าย Data &amp; Analytic ปีงบประมาณ 2027" · ฝ่าย = Data &amp; Analytic · ปีในอีเมล = 2027 · ปีบนหน้าจอ = `Year 2026` · ผู้กรอกงบ = pornthipp@chememan.com · ผู้อนุมัติขั้นที่ 1 = laddawank@chememan.com</t>
        </is>
      </c>
      <c r="M51" s="20" t="inlineStr">
        <is>
          <t>⚠ เคสรวม (merged) — 1 แถวแต่มีหลายข้อที่ต้องตรวจ อ่านให้ครบทุกข้อก่อนตัดสิน Pass
1) ผู้ส่งแสดงเป็น CMAN_PowerBI (อีเมล cmanpowerbi@chememan.com)
2) To = pornthipp@chememan.com (ผู้กรอกงบ) · CC = laddawank@chememan.com (ผู้อนุมัติขั้นที่ 1) และ cmanpowerbi@chememan.com (สำเนาเก็บของระบบ) · ผู้อนุมัติขั้นที่ 2 และ 3 ไม่ได้รับสำเนา
3) หัวข้อ = "ได้รับการอนุมัติ งบประมาณของฝ่าย Data &amp; Analytic ปีงบประมาณ 2027" ชื่อฝ่ายและปีตรงกับงบที่ทำจริง
4) เนื้อหาระบุครบ: ฝ่าย = Data &amp; Analytic, ปีงบประมาณ = 2027, สถานะ = "อนุมัติครบทุกขั้นแล้ว"
5) ลิงก์ `คลิกที่นี่เพื่อดูรายละเอียด` เปิดหน้างบของฝ่ายและปีเดียวกับที่ระบุไว้ในอีเมลทันที คือฝ่าย Data &amp; Analytic และปีที่หน้าจอแสดงว่า `Year 2026` โดยไม่ต้องเลือกฝ่ายหรือปีเองอีก ไม่ขึ้นข้อความแสดงข้อผิดพลาด และไม่ใช่หน้าเปล่า
6) ตัวอักษรไทยแสดงครบถูกต้อง ไม่มี ??? หรืออักขระเพี้ยน ทั้งบนคอมพิวเตอร์และบนมือถือ
7) อีเมลเข้ากล่อง Inbox ตามปกติภายในเวลาที่ยอมรับได้ ไม่ตกไปโฟลเดอร์ Junk/Spam
8) ปีงบประมาณในอีเมลคือ 2027 ขณะที่หน้าจอแสดง `Year 2026` — จับคู่ปีถูกต้องตามที่ออกแบบ ไม่สลับปีผิด
— หมายเหตุสำคัญ —
เคสเดียวแต่มี 8 ข้อที่ต้องตรวจแยกกัน (ยุบมาจาก SIT 8 เคส) อ่านช่อง Expected Result ให้ครบทั้ง 8 ข้อก่อน mark Pass · SIT ตรวจข้อ 6 เฉพาะบนคอมพิวเตอร์และค้างการเปิดบนมือถือไว้ รอบนี้ต้องเปิดบนมือถืออย่างน้อย 1 ครั้ง · ถ้าจำเป็นต้องใช้อีเมลฉบับอื่นที่ไม่ใช่ "ได้รับการอนุมัติ" ให้จดหัวข้อฉบับที่ใช้จริงลงช่อง Actual Result แล้วเทียบ To/CC และหัวข้อตามฉบับนั้น เพราะข้อ 2 กับข้อ 3 เขียนตามฉบับ "ได้รับการอนุมัติ"</t>
        </is>
      </c>
      <c r="N51" s="51" t="inlineStr">
        <is>
          <t>ข้อ 5 (ลิงก์ในอีเมล): ระบบสร้างลิงก์รูปแบบ /?dept=Data%20%26%20Analytic&amp;year=2026 (ปีบนลิงก์ = ปีหน้าจอ) · เปิดลิงก์นี้ในนาม Pornthip → หน้าเปิดที่ฝ่าย 'Data &amp; Analytic' ปี 'Year 2026' ถูกเลือกทันที ตาราง 10 แถวโหลดครบ สถานะ 'Approved' ไม่มีข้อความผิดพลาด ไม่ใช่หน้าเปล่า · ข้อ 8: อีเมลระบุ 'ปีงบประมาณ 2027 (หน้าจอ: Year 2026)' ตามภาพกล่องจดหมาย Laddawan ที่ jakkaritw เปิดดู — จับคู่ปีถูกต้อง · จากภาพเดียวกัน: ผู้ส่ง CMAN_PowerBI, To ผู้อนุมัติ, Cc CMAN_PowerBI, หัวข้อ 'รอการอนุมัติ งบประมาณของฝ่าย Data &amp; Analytic ปีงบประมาณ 2027', ตัวอักษรไทยครบ ไม่มี ??? (บนคอมพิวเตอร์)</t>
        </is>
      </c>
      <c r="O51" s="21" t="n"/>
      <c r="P51" s="22" t="n"/>
      <c r="Q51" s="22" t="n"/>
      <c r="R51" s="23" t="inlineStr">
        <is>
          <t>Pornthip</t>
        </is>
      </c>
      <c r="S51" s="24" t="n">
        <v>46274</v>
      </c>
      <c r="T51" s="51" t="inlineStr">
        <is>
          <t>[AI pre-run 09/09/2026] สถานะจาก AI: Partial — ข้อ 1-6, 8 ผ่าน; เหลือข้อ 7 (Junk) และเปิดบนมือถือ · คนตรวจฉบับ 'ได้รับการอนุมัติ … 2027' ที่ Pornthip ได้ ~03:21: To pornthipp / Cc laddawank + cmanpowerbi, สถานะ 'อนุมัติครบทุกขั้นแล้ว', Inbox ไม่ใช่ Junk, และเปิดบนมือถือ 1 ครั้ง (ข้อค้างจาก SIT) · ยังไม่มีหลักฐานเมลฉบับ 'ได้รับการอนุมัติ' 03:21 จริง (To/CC/เนื้อหา/Junk/มือถือ) · [ตรวจอีเมล 09/09 บ่าย] หลักฐานจริงที่มี = ภาพหน้าจอ Outlook ของ jakkaritw เมื่อเช้า (เห็นเมล 02:36, 02:45, 02:49, 02:51, 02:58, 03:01) · เมลช่วง 03:06–03:21 ยังไม่มีใครเห็นจริง · การเข้า shared mailbox cmanpowerbi@chememan.com ผ่าน Claude ตอบ 404/FORBIDDEN = บัญชี jakkaritw ไม่มีสิทธิ์ Full Access ต้องขอจาก Exchange admin หรือให้เจ้าตัวเปิดกล่องเอง · รายงานจาก session อื่นที่สรุปว่า 'ผ่าน' เป็นการเทียบกับตารางคาดการณ์ ไม่ใช่หลักฐานจากกล่องจดหมาย จึงไม่เปลี่ยน Status · [ภาพอีเมลจริงจาก jakkaritw 09/09 ~16:00] จากฉบับ 'ได้รับการอนุมัติ': ข้อ 1 ผู้ส่ง CMAN_PowerBI ✓ · ข้อ 2 To pornthipp, CC laddawank + cmanpowerbi ✓ · ข้อ 3 หัวข้อ 'ได้รับการอนุมัติ งบประมาณของฝ่าย Data &amp; Analytic ปีงบประมาณ 2027' ✓ · ข้อ 4 ฝ่าย / 2027 / 'อนุมัติครบทุกขั้นแล้ว' ✓ · ข้อ 6 อักษรไทยครบบนคอมพิวเตอร์ ✓ · ข้อ 8 '2027 (หน้าจอ: Year 2026)' ✓ · ข้อ 5 ลิงก์ทดสอบแล้วโดย AI ✓ · เหลือข้อ 7 (Inbox ไม่ตก Junk — ภาพเปิดจากกล่องจดหมายปกติ น่าจะผ่าน ให้เจ้าตัวยืนยัน) และเปิดบนมือถือ 1 ครั้ง · [รายการกล่องจดหมาย CMAN_PowerBI (cc ทุกฉบับ) ภาพจาก jakkaritw 09/09 ~16:10] ฉบับ 'ได้รับการอนุมัติ' อยู่ในรายการกล่องจดหมายปกติ 03:22 (Inbox ไม่ตก Junk สำหรับกล่อง cmanpowerbi) · ยังเหลือเปิดบนมือถือ 1 ครั้ง และยืนยัน Inbox ของพรทิพย์เอง · 📧 อ้างอิงอีเมล (ทุกฉบับผู้ส่ง = CMAN_PowerBI cmanpowerbi@chememan.com · วันที่ = พุธ 9 ก.ย. 2026 · ชื่อ jakkaritw ไม่อยู่ทั้ง To/CC จึงต้องเปิดกล่อง cmanpowerbi หรือกล่องผู้รับ) — Wed 3:22 AM — ได้รับการอนุมัติ (Data &amp; Analytic) → pornthipp · cc laddawank, cmanpowerbi  (ฉบับที่เคสนี้ใช้)</t>
        </is>
      </c>
    </row>
    <row r="52" ht="288" customHeight="1">
      <c r="A52" s="18" t="inlineStr">
        <is>
          <t>W7</t>
        </is>
      </c>
      <c r="B52" s="18" t="n">
        <v>49</v>
      </c>
      <c r="C52" s="19" t="n">
        <v>50</v>
      </c>
      <c r="D52" s="20" t="inlineStr">
        <is>
          <t>UAT-50</t>
        </is>
      </c>
      <c r="E52" s="20" t="inlineStr">
        <is>
          <t>Email Alert / Notification</t>
        </is>
      </c>
      <c r="F52" s="20" t="inlineStr">
        <is>
          <t>Data &amp; Analytic</t>
        </is>
      </c>
      <c r="G52" s="18" t="n"/>
      <c r="H52" s="20" t="inlineStr">
        <is>
          <t>อีเมลยังเป็นภาษาไทยขณะที่หน้าจออนุมัติเป็นภาษาอังกฤษ — ให้ผู้ใช้ตัดสินและบันทึกคำตอบลงช่อง Remarks</t>
        </is>
      </c>
      <c r="I52" s="19" t="inlineStr">
        <is>
          <t>Medium</t>
        </is>
      </c>
      <c r="J52" s="20" t="inlineStr">
        <is>
          <t>ผ่านเคส UAT-46 / UAT-47 / UAT-48 มาแล้วอย่างน้อยหนึ่งเคส จึงมีอีเมลของระบบอยู่ในกล่องจดหมายให้เปิดเทียบได้ · เปิดหน้าจออนุมัติของระบบดูควบคู่กันได้ในเวลาเดียวกัน · มีผู้ใช้ที่มีสิทธิ์ตัดสินเรื่องภาษาของอีเมลอยู่ด้วยเพื่อให้คำตอบ</t>
        </is>
      </c>
      <c r="K52" s="20" t="inlineStr">
        <is>
          <t>1. เปิดหน้าจออนุมัติในระบบด้วยบัญชีผู้อนุมัติ แล้วจดข้อความภาษาอังกฤษที่เห็นจริงบนจอในตอนนั้น เช่น ปุ่ม `Approve` และ `Reject` · ป้ายสถานะ `Pending · Step 1 (Direct manager)` · กล่องเหตุผล `Reject reason (required)` กับปุ่ม `Confirm Reject` · และป้ายในตัวเลือกฝ่าย `Pending` (ส่วนป้าย `Approved` และ `Draft — not submitted` เป็นป้ายสถานะของงบที่อนุมัติครบแล้ว และงบที่ยังไม่ส่ง จะเห็นก็ต่อเมื่องบอยู่ในสถานะนั้น ไม่ต้องตามหาบนหน้าจอนี้)
2. เปิดอีเมลที่ระบบส่งออกจากเคส UAT-46 / UAT-47 / UAT-48 แล้วจดว่าหัวข้อและเนื้อหาเป็นภาษาใด
3. เทียบคำที่ใช้เรียกสถานะเดียวกันทั้งสองฝั่ง เช่น หน้าจอ `Pending` ↔ อีเมล "รอการอนุมัติ" · หน้าจอ `Approved` ↔ อีเมล "อนุมัติครบทุกขั้นแล้ว" · หน้าจอ `Reject` ↔ อีเมล "ถูกตีกลับ"
4. ให้ผู้ใช้ตัดสินว่ารับสภาพ "หน้าจอเป็นภาษาอังกฤษ + อีเมลเป็นภาษาไทย" นี้ได้ หรือต้องแปลอีเมลเป็นภาษาอังกฤษด้วย
5. บันทึกคำตอบของผู้ใช้ลงช่อง Remarks ของแถวนี้ เช่น "รับได้ ไม่ต้องแก้" หรือ "ต้องแปลอีเมลเป็นภาษาอังกฤษด้วย"</t>
        </is>
      </c>
      <c r="L52" s="20" t="inlineStr">
        <is>
          <t>ข้อความบนหน้าจอ (ภาษาอังกฤษ): `Approve` / `Reject` / `Pending · Step 1 (Direct manager)` / `Reject reason (required)` / `Confirm Reject` / `Approved` / `Draft — not submitted` / ป้ายในตัวเลือกฝ่าย `Pending` · ข้อความในอีเมล (ภาษาไทย): "รอการอนุมัติ" / "ถูกตีกลับ" / "ได้รับการอนุมัติ" / "อนุมัติครบทุกขั้นแล้ว"</t>
        </is>
      </c>
      <c r="M52" s="20" t="inlineStr">
        <is>
          <t>ยืนยันได้ว่าหน้าจออนุมัติแสดงเป็นภาษาอังกฤษ ขณะที่อีเมลแจ้งเตือนทุกฉบับยังเป็นภาษาไทยทั้งหัวข้อและเนื้อหา — นี่คือสภาพปัจจุบันของระบบที่ต้องบันทึกไว้ ไม่ใช่ข้อผิดพลาดที่ยืนยันแล้ว · เคสนี้ตัดสินจากคำตอบของผู้ใช้ ไม่ใช่จากพฤติกรรมของระบบ: ถ้าผู้ใช้รับสภาพนี้ได้ ให้ mark Pass พร้อมบันทึกคำตอบลงช่อง Remarks · ถ้าผู้ใช้ต้องการให้แปลอีเมลเป็นภาษาอังกฤษด้วย ให้บันทึกเป็นคำขอเปลี่ยนแปลงในแถวของแท็บ `4. Defects` และอ้างเลขที่ไว้ในช่อง Defect ID
— หมายเหตุสำคัญ —
เป็นเคสให้ผู้ใช้ตัดสิน (decision case) ต้องได้คำตอบเป็นลายลักษณ์อักษรในช่อง Remarks ก่อนปิดรอบ UAT — ถ้าปล่อยว่างไว้ถือว่าเคสยังไม่จบ · ไม่มีเคสใดใน SIT ที่เคยเทียบภาษาของหน้าจอกับภาษาของอีเมล จึงไม่มีผลเดิมให้อ้างอิง</t>
        </is>
      </c>
      <c r="N52" s="51" t="inlineStr">
        <is>
          <t>หน้าจออนุมัติเป็นภาษาอังกฤษ: ปุ่ม Approve / Reject · chip 'Pending · Step 1 (Direct manager)' / 'Pending · Step 2 (นิภาพร ทองกิ่ง (Senior Associate))' / 'Rejected' / 'Approved' · กล่อง 'REJECT REASON (REQUIRED)' + 'Confirm Reject' · ป้าย 'Pending' ในตัวเลือกฝ่าย · ข้อความ 'Submitted — locked for editing until it is rejected' · อีเมลทุกฉบับเป็นภาษาไทยทั้งหัวข้อและเนื้อหา: 'รอการอนุมัติ …' / 'ถูกตีกลับ …' / 'ได้รับการอนุมัติ …' สถานะ 'รอการอนุมัติจากท่าน' / 'ถูกตีกลับ' / 'อนุมัติครบทุกขั้นแล้ว' · คู่คำเดียวกัน: Pending ↔ รอการอนุมัติ, Rejected ↔ ถูกตีกลับ, Approved ↔ ได้รับการอนุมัติ</t>
        </is>
      </c>
      <c r="O52" s="21" t="inlineStr">
        <is>
          <t>Pass</t>
        </is>
      </c>
      <c r="P52" s="22" t="n"/>
      <c r="Q52" s="22" t="n"/>
      <c r="R52" s="23" t="inlineStr">
        <is>
          <t>ไม่ระบุชื่อในเคส (ต้องมีคนเปิดทั้งจอ+อีเมลเทียบกัน — สันนิษฐาน Pornthip)</t>
        </is>
      </c>
      <c r="S52" s="24" t="n">
        <v>46274</v>
      </c>
      <c r="T52" s="51" t="inlineStr">
        <is>
          <t>[AI pre-run 09/09/2026] jakkaritw ตัดสิน 2026-09-09: รับสภาพ 'หน้าจออังกฤษ / อีเมลไทย' ได้ → Pass ไม่เปิดคำขอเปลี่ยนแปลง · 📧 อ้างอิงอีเมล (ทุกฉบับผู้ส่ง = CMAN_PowerBI cmanpowerbi@chememan.com · วันที่ = พุธ 9 ก.ย. 2026 · ชื่อ jakkaritw ไม่อยู่ทั้ง To/CC จึงต้องเปิดกล่อง cmanpowerbi หรือกล่องผู้รับ) — ใช้อีเมลฉบับใดก็ได้ข้างต้นเป็นตัวอย่าง — ประเด็นคือหัวข้อ/เนื้อหาเป็นภาษาไทยขณะหน้าจอเป็นอังกฤษ</t>
        </is>
      </c>
    </row>
    <row r="53" ht="564" customHeight="1">
      <c r="A53" s="18" t="inlineStr">
        <is>
          <t>W8</t>
        </is>
      </c>
      <c r="B53" s="18" t="n">
        <v>54</v>
      </c>
      <c r="C53" s="19" t="n">
        <v>51</v>
      </c>
      <c r="D53" s="20" t="inlineStr">
        <is>
          <t>UAT-51</t>
        </is>
      </c>
      <c r="E53" s="20" t="inlineStr">
        <is>
          <t>Business Rules &amp; UI</t>
        </is>
      </c>
      <c r="F53" s="20" t="inlineStr">
        <is>
          <t>-</t>
        </is>
      </c>
      <c r="G53" s="18" t="n"/>
      <c r="H53" s="20" t="inlineStr">
        <is>
          <t>กวาดตาดูหน้าจอทั้งระบบรอบเดียว ทั้ง Chrome และ Edge — ชุดสีของบริษัท ข้อความไทย และยอดตัวเลขยาว ๆ</t>
        </is>
      </c>
      <c r="I53" s="19" t="inlineStr">
        <is>
          <t>Medium</t>
        </is>
      </c>
      <c r="J53" s="20" t="inlineStr">
        <is>
          <t>ล็อกอินเป็น Pornthip ได้ทั้งบน Google Chrome และ Microsoft Edge (เวอร์ชันล่าสุดทั้งคู่) · ระบบรองรับความละเอียดขั้นต่ำ 1366×768 บนเดสก์ท็อปหรือโน้ตบุ๊ก ไม่รองรับมือถือในเวอร์ชันนี้ · ในตารางต้องมีข้อมูลที่กรอกไว้แล้วจากระลอก W2–W4 และมีอย่างน้อย 1 ช่องที่ยอดถึงหลักล้าน เพื่อให้เห็นตัวเลขยาวจริง · เลือกฝ่ายที่มีชื่อภาษาไทยยาวไว้ดูอย่างน้อย 1 ฝ่าย</t>
        </is>
      </c>
      <c r="K53" s="20" t="inlineStr">
        <is>
          <t>1. เปิด URL ของระบบด้วย Chrome ที่ความละเอียด 1920×1080 ล็อกอินเป็น Pornthip แล้วเลือกฝ่าย Data &amp; Analytic ปีบนจอ Year 2026
2. กวาดตาดูส่วนบนของหน้าจอ: โลโก้บริษัทบนแถบบนสุด · แถบผู้ใช้ (ชื่อ อีเมล ป้าย role สายงาน ชื่อฝ่าย จำนวน Cost Center จำนวน GL) · แถบเครื่องมือ (ตัวเลือกปี ตัวเลือกฝ่าย ปุ่ม `+ เพิ่ม Transaction` ปุ่ม `แนบไฟล์`) · คำอธิบาย 3 ชั้น (legend)
3. ดูตารางหลักทั้ง 2 ฝั่ง (ฝั่งผลิต/ต้นทุน 5xxx และฝั่งบริหาร/ขาย SG&amp;A 6xxx): หัวตาราง ชื่อ Cost Center ชื่อ GL ชื่อกลุ่ม GL ยอดรายเดือนทั้ง 12 เดือน ยอด `รวมทั้งปี` ยอดรวมย่อยต่อกลุ่ม GL และยอดรวมใหญ่
4. เลื่อนลงไปดูแถบอนุมัติที่อยู่ใต้ตาราง: ป้ายสถานะ ข้อความข้างป้าย และปุ่มเท่าที่แสดงอยู่ในสถานะนั้น
5. เปิดฟอร์มย่อย 1 ฟอร์ม (เช่น Entertainment) และเปิด Trip Manager 1 หน้าต่าง แล้วดูสีพื้น สีตัวอักษร ปุ่ม และข้อความในนั้น
6. เปิดกล่อง `แนบไฟล์` 1 ครั้ง แล้วดูรายการไฟล์และปุ่มในกล่อง
7. หาช่องที่มียอดยาวที่สุด (หลักล้าน เช่น 3,333,300) ทั้งในช่องรายเดือน ช่อง `รวมทั้งปี` แถวยอดรวมย่อยต่อกลุ่ม GL และแถวยอดรวมใหญ่ แล้วตรวจว่าตัวเลขไม่ทับกันและไม่ถูกตัดหาย
8. ย่อหน้าต่างเบราว์เซอร์เป็น 1366×768 แล้วดูซ้ำตั้งแต่ข้อ 2 ถึงข้อ 7
9. โหลดหน้าใหม่ (refresh) 1 ครั้ง แล้วตรวจว่าชื่อฝ่ายภาษาไทยและชื่อ GL ยาว ๆ ยังแสดงถูกต้อง
10. ทำซ้ำข้อ 1 ถึงข้อ 9 ทั้งหมดอีกรอบบน Microsoft Edge
11. (**ทำที่ตำแหน่งเคส UAT-37 ตามลำดับการรัน ไม่ใช่ตอนนี้** — ถึงตำแหน่งของเคสนี้ ฝ่าย Data &amp; Analytic จะเป็น `Approved` แล้ว และฝ่าย Solution Delivery ก็ถูกตีกลับคืนสถานะ `Rejected` ไปแล้วตั้งแต่เคส UAT-43 จึงไม่มีฝ่ายใดค้างอยู่ในสถานะ `Pending` ให้ดู) ขอให้ผู้อนุมัติ (Laddawan) เปิดหน้าจอฝ่ายที่ค้างอนุมัติของตน 1 ครั้ง แล้วดูสีและความชัดของปุ่ม `Approve` / `Reject` กับป้ายสถานะ แล้วกลับมาบันทึกผลลงช่อง Actual Result ของเคสนี้ (UAT-51) — ไม่ต้องกดปุ่มใด ๆ ในเคสนี้
12. จุดใดที่อ่านยาก สีกลืนกัน ตัวอักษรหาย หรือตัวเลขทับกัน ให้ถ่ายภาพหน้าจอเก็บไว้ และจดว่าพบบนเบราว์เซอร์ใดและที่ความละเอียดเท่าใด</t>
        </is>
      </c>
      <c r="L53" s="20" t="inlineStr">
        <is>
          <t>เบราว์เซอร์: Google Chrome (เวอร์ชันล่าสุด) และ Microsoft Edge (เวอร์ชันล่าสุด) · ความละเอียด: 1920×1080 และ 1366×768 · ฝ่าย: Data &amp; Analytic · ปีบนจอ: Year 2026 · ต้องมีอย่างน้อย 1 ช่องที่ยอดถึงหลักล้าน (เช่น 3,333,300)</t>
        </is>
      </c>
      <c r="M53" s="20" t="inlineStr">
        <is>
          <t>⚠ เคสรวม (merged) — 1 แถวแต่มีหลายข้อที่ต้องตรวจ อ่านให้ครบทุกข้อก่อนตัดสิน Pass
1) ชุดสีเป็นสีของบริษัทจริง — เขียว `#00805e` และกรมท่า `#1b3564` — โลโก้และตัวอักษรบนพื้นสีอ่านออกชัดทุกจุด ทั้งในตาราง ปุ่ม ป้ายสถานะ แถบอนุมัติ ฟอร์มย่อย และปุ่ม `Approve` / `Reject` บนหน้าจอของผู้อนุมัติ ไม่มีจุดที่สีตัวอักษรกลืนไปกับสีพื้นจนอ่านไม่ออก
2) ข้อความภาษาไทยแสดงครบ อ่านออก ไม่มีตัวอักษรกลายเป็นกล่องสี่เหลี่ยม · ช่องที่ข้อความยาวเกินแสดง "…" และเห็นข้อความเต็มเมื่อชี้เมาส์ · หลังโหลดหน้าใหม่ชื่อฝ่ายภาษาไทยยังแสดงถูกต้อง
3) ยอดตัวเลขยาว ๆ ไม่ทับกัน — อ่านได้ครบทุกหลัก ไม่ล้นออกนอกช่อง และไม่ถูกตัวเลขของช่องข้าง ๆ บัง ทั้งในช่องรายเดือน ช่อง `รวมทั้งปี` แถวยอดรวมย่อยต่อกลุ่ม GL และแถวยอดรวมใหญ่ (ข้อนี้คือคำตอบของคำถามค้างจาก SIT: "ยอดยาวๆจะทับกันไหม??")
4) Chrome และ Edge แสดงผลเหมือนกัน · ที่ 1366×768 ตารางเลื่อนแนวนอนได้โดยคอลัมน์ Cost Center และ GL ตรึงอยู่ซ้าย หัวตารางตรึงด้านบน · ปุ่ม `แนบไฟล์` แถบอนุมัติ และปุ่มเท่าที่ระบบแสดงตามสถานะของฝ่ายในขณะนั้น (เช่น `Submit` เมื่อฝ่ายยังแก้ไขได้ หรือ `Approve` / `Reject` เมื่อเป็นผู้อนุมัติ) ยังมองเห็นครบและกดถึงได้ ไม่ถูกบัง
— หมายเหตุสำคัญ —
เคสนี้เป็น 1 แถวแต่มี 4 ข้อที่ต้องตรวจ ต้องอ่าน Expected Result ให้ครบทั้ง 4 ข้อก่อนกด Pass · การตรวจบน Microsoft Edge เป็นข้อค้างจาก SIT (ผู้ทดสอบเดิมบันทึกไว้ว่า "ยังต้องให้คนตรวจบน Edge") รอบนี้ต้องมีคนเปิดบน Edge จริง ไม่ใช่เดาว่าเหมือนกัน · ชุดสีของบริษัทเพิ่งเปลี่ยนหลังปิดรอบ SIT ผู้ทดสอบเดิมจึงเห็นสีเขียวคนละเฉดกับที่เห็นตอนนี้ อย่าใช้ภาพหน้าจอเก่าเป็นเกณฑ์เทียบ · ถ้าพบจุดที่อ่านยากหรือตัวเลขทับกัน ให้เปิดแถวใหม่ในชีต `4. Defects` แล้วแนบภาพหน้าจอไปด้วย · เคสนี้ทำหลังระลอก W6 ฝ่ายที่ใช้ดูอาจอยู่ในสถานะ `Approved` แล้ว ปุ่ม `Submit` จะไม่ปรากฏ ซึ่งถูกต้องตามสถานะ ไม่ใช่ข้อผิดพลาด ให้ตรวจเฉพาะปุ่มที่มีจริงในสถานะนั้น</t>
        </is>
      </c>
      <c r="N53" s="51" t="inlineStr">
        <is>
          <t>รันครบบนทั้ง 2 เบราว์เซอร์ × 2 ความละเอียด (grid, subform Entertainment, Trip Manager, กล่องแนบไฟล์, refresh) ผลเหมือนกันทุกชุด: · ตัวเลขยาวสุด 135,500.00 ไม่มีช่องไหนล้น (overflow cells = 0) · ตารางเลื่อนแนวนอนในกรอบของตัวเอง body ไม่มี horizontal scroll · หัวตารางตรึงบน คอลัมน์ Cost Center/GL ตรึงซ้าย (sticky = true ทั้งคู่) · อักษรไทยครบ ไม่มี ??? หลัง refresh · · contrast (WCAG AA ต้อง ≥ 4.5 ข้อความปกติ / ≥ 3 ข้อความใหญ่): ข้อความหลักผ่านสบาย — โลโก้บนแถบเขียว 4.94, ป้าย role 9.18, ชื่อฝ่าย/GL/ตัวเลข 17.04, หัวเดือน 7.83, ยอดรวม 14.56 · พบ 'ต่ำกว่า AA เล็กน้อย' 3 จุดที่เป็นข้อความรอง สีเทา #727781 บนขาว = 4.49 (อีเมลผู้ใช้, legend 'Approved'/'Pending', label ในฟอร์มย่อย/Trip/หัวตารางแนบไฟล์) — ห่างเกณฑ์ 0.01 · และปุ่มฟอร์มย่อยตอนล็อก '🔒 ดูรายละเอียด' สีทอง #c1952e บนพื้นครีม = 2.52–2.63 (เป็นสไตล์ disabled โดยตั้งใจ)</t>
        </is>
      </c>
      <c r="O53" s="21" t="inlineStr">
        <is>
          <t>Pass</t>
        </is>
      </c>
      <c r="P53" s="22" t="n"/>
      <c r="Q53" s="22" t="n"/>
      <c r="R53" s="23" t="inlineStr">
        <is>
          <t>Pornthip → Laddawan</t>
        </is>
      </c>
      <c r="S53" s="24" t="n">
        <v>46274</v>
      </c>
      <c r="T53" s="51" t="inlineStr">
        <is>
          <t>[AI pre-run 09/09/2026] AI ไม่ตัดสินเรื่องสายตา · ข้อเสนอ (ไม่บล็อก): ยกสีเทารอง #727781 ให้เข้มขึ้นอีกนิดให้ถึง 4.5 และเพิ่มน้ำหนักปุ่มล็อก 🔒 ถ้าอยากให้อ่านง่ายขึ้น — เป็นงานปรับสีเล็ก ไม่กระทบข้อมูล · ยอดหลักล้าน (3,333,300) ไม่มีในข้อมูลรอบนี้ ถ้าจะพิสูจน์ข้อ 7 เต็มต้องพิมพ์ในฝ่ายที่ยังแก้ได้ · ผู้ทดสอบดูภาพแล้วติ๊ก Pass ได้ถ้าอ่านออกชัด · jakkaritw ตัดสิน 2026-09-09: รับได้ → Pass</t>
        </is>
      </c>
    </row>
    <row r="54" ht="600" customHeight="1">
      <c r="A54" s="18" t="inlineStr">
        <is>
          <t>W8</t>
        </is>
      </c>
      <c r="B54" s="18" t="n">
        <v>50</v>
      </c>
      <c r="C54" s="19" t="n">
        <v>52</v>
      </c>
      <c r="D54" s="20" t="inlineStr">
        <is>
          <t>UAT-52</t>
        </is>
      </c>
      <c r="E54" s="20" t="inlineStr">
        <is>
          <t>Business Rules &amp; UI</t>
        </is>
      </c>
      <c r="F54" s="20" t="inlineStr">
        <is>
          <t>-</t>
        </is>
      </c>
      <c r="G54" s="18" t="n"/>
      <c r="H54" s="20" t="inlineStr">
        <is>
          <t>ข้อความแจ้งข้อผิดพลาดบอกสาเหตุและวิธีแก้ ไม่แสดงศัพท์เทคนิคหรือ stack trace ให้ผู้ใช้เห็น</t>
        </is>
      </c>
      <c r="I54" s="19" t="inlineStr">
        <is>
          <t>Medium</t>
        </is>
      </c>
      <c r="J54" s="20" t="inlineStr">
        <is>
          <t>มีฝ่ายที่ส่งขออนุมัติไปแล้วอย่างน้อย 1 ฝ่าย — ตามลำดับการรันคือฝ่าย Data &amp; Analytic ที่สถานะบนจอเป็น `Pending · Step 1 (Direct manager)` และ **ยังไม่ถึงขั้น `Approved`** · ขั้นตอนที่ 1, 3, 4 และ 5 ทำที่ตำแหน่งนี้ตามลำดับการรัน เพราะต้องใช้ฝ่ายที่ส่งขออนุมัติไปแล้วแต่ยัง **ไม่** เป็น `Approved` — เคสนี้จึงถูกจัดให้รัน **ก่อนเคส UAT-40** · แต่ **ขั้นตอนที่ 2 (จำนวนวันเดินทางติดลบ) ทำที่ตำแหน่งนี้ไม่ได้** เพราะระบบล็อกการแก้ไขทั้งฝ่ายตั้งแต่ตอนกด `Submit` ไม่ใช่ตอน `Approved` — พอสถานะเป็น `Pending` แล้ว Trip Manager จะเปิดขึ้นมาเป็นแบบอ่านอย่างเดียว (หัวกล่องขึ้นคำว่า `🔒 อ่านอย่างเดียว (แก้ไม่ได้)` ช่องกรอกทุกช่องถูกปิด และปุ่ม `บันทึก &amp; ลงบัญชี` หายไปทั้งปุ่ม) จึงพิมพ์ค่า -3 ไม่ได้เลย · ขั้นตอนที่ 2 ต้อง **ทำทันทีหลัง UAT-26 ก่อนเริ่ม UAT-32** ซึ่งเป็นช่วงที่ฝ่ายยังเป็น `Draft — not submitted` และทริปที่สร้างไว้ในระลอก W3 ยังแก้ไขได้ · ผู้ทดสอบสามารถปิดและเปิด Wi-Fi ของเครื่องตัวเองได้</t>
        </is>
      </c>
      <c r="K54" s="20" t="inlineStr">
        <is>
          <t>1. เลือกฝ่ายที่ส่งขออนุมัติไปแล้ว จากนั้นลองแก้ยอดในช่องเดือนหนึ่ง และลองกด `+ เพิ่ม Transaction` · จดข้อความที่ระบบแสดงลงช่อง Actual Result แบบคำต่อคำ
2. (**ทำทันทีหลัง UAT-26 ก่อนเริ่ม UAT-32** — ตอนนั้นฝ่ายยังเป็น `Draft — not submitted` และทริปของระลอก W3 ยังแก้ไขได้ · ถ้ารอมาทำตอนถึงลำดับการรันของเคสนี้จะทำไม่ได้ เพราะฝ่ายถูกล็อกตั้งแต่กด `Submit` ในเคส UAT-32 แล้ว Trip Manager จะเปิดเป็นแบบอ่านอย่างเดียวและปุ่ม `บันทึก &amp; ลงบัญชี` หายไปทั้งปุ่ม) เปิด Trip Manager ของทริปที่ยังแก้ไขได้ กรอกจำนวนวันเดินทางเป็นค่าติดลบ (เช่น -3) แล้วกด `บันทึก &amp; ลงบัญชี` · จดข้อความที่ระบบแสดง แล้วกลับมาบันทึกผลลงช่อง Actual Result ของเคสนี้
3. ปิด Wi-Fi ของเครื่อง แล้วพิมพ์ยอดลงช่องเดือนหนึ่งและคลิกออกจากช่องเพื่อให้ระบบพยายามบันทึก · จดข้อความที่ระบบแสดง แล้วเปิด Wi-Fi กลับและโหลดหน้าใหม่
4. อ่านข้อความบนจอทุกข้อความที่เจอในขั้นตอนที่ 1 ถึง 3 แล้วตอบ 2 คำถามนี้ต่อข้อความ: (ก) บอกสาเหตุหรือไม่ (ข) บอกว่าต้องทำอะไรต่อหรือไม่
5. ถ้าระหว่างระลอก W1 ถึง W7 เคยเจอข้อความแจ้งข้อผิดพลาดที่อ่านไม่รู้เรื่อง ให้นำมาจดรวมไว้ในเคสนี้ด้วย พร้อมระบุว่าเจอที่หน้าจอไหน</t>
        </is>
      </c>
      <c r="L54" s="20" t="inlineStr">
        <is>
          <t>ฝ่ายที่สถานะเป็น `Pending · Step 1 (Direct manager)` · จำนวนวันเดินทาง = -3 · ปิด Wi-Fi ชั่วคราว 1 ครั้งขณะกดบันทึก</t>
        </is>
      </c>
      <c r="M54" s="20" t="inlineStr">
        <is>
          <t>1) ในฝ่ายที่ส่งขออนุมัติไปแล้ว ช่องยอดเป็นแบบอ่านอย่างเดียว พิมพ์แก้ไม่ได้ตั้งแต่แรก (ไม่จำเป็นต้องมีข้อความแจ้ง ถือว่าถูกต้อง) · ส่วนการกด `+ เพิ่ม Transaction` ต้องถูกปฏิเสธพร้อมข้อความภาษาไทยที่บอกว่าฝ่ายนี้ถูกล็อกเพราะส่งขออนุมัติแล้ว และบอกสิ่งที่ต้องทำต่อ
2) (ตรวจตอนฝ่ายยังแก้ไขได้) การกรอกจำนวนวันเดินทางเป็นค่าติดลบถูกกันตั้งแต่ช่องกรอก: พิมพ์ `-3` ช่องจะเปลี่ยนเป็น `3` ทันที (เครื่องหมายลบถูกตัดทิ้ง) โดยไม่มีข้อความแจ้ง — jakkaritw ตัดสิน 2026-09-09 ว่ายอมรับได้ ถือว่าผ่านเมื่อระบบไม่ยอมรับค่าติดลบ · ผู้ทดสอบต้องตรวจค่าในช่องอีกครั้งก่อนกด `บันทึก &amp; ลงบัญชี`
3) ตอนไม่มีอินเทอร์เน็ต ระบบแสดงข้อความภาษาไทยที่บอกสาเหตุ (บันทึกไม่สำเร็จ / ติดต่อระบบไม่ได้) และบอกสิ่งที่ต้องทำต่อ ไม่เงียบหายไปเฉย ๆ
4) ทุกข้อความในขั้นตอนที่ 1 ถึง 3 ไม่มี stack trace ชื่อไฟล์ .py หรือคำสั่ง SQL ปรากฏบนหน้าจอ · รายละเอียดภาษาอังกฤษที่ต่อท้ายข้อความให้บันทึกเป็นข้อสังเกต ไม่ถือเป็น Fail
5) ข้อความในส่วนของการอนุมัติที่เป็นภาษาอังกฤษ (เช่น `Submitted — locked for editing until it is rejected`) เป็นการออกแบบไว้แบบนั้นหลังแปลหน้าจออนุมัติเป็นภาษาอังกฤษ ไม่ใช่ข้อผิดพลาด
— หมายเหตุสำคัญ —
กรณี "เปิด 2 แท็บแล้วแก้แถวเดียวกันพร้อมกัน" ที่ SIT เคยมีอยู่ ถูกตัดออกจากรอบนี้แล้ว — jakkaritw ตัดสินเมื่อ 2026-08-20 ว่าผ่าน เพราะตัวเลขอัปเดตให้ทันทีอยู่แล้ว โอกาสพลาดน้อยมาก จึงไม่ต้องทดสอบซ้ำ · ตามลำดับการรัน เคสนี้ถูกวางไว้ **ก่อนเคส UAT-40 โดยตั้งใจ** เพราะขั้นตอนที่ 1 ต้องใช้ฝ่ายที่ส่งขออนุมัติแล้วแต่ยัง **ไม่** เป็น `Approved` — ห้ามเลื่อนเคสนี้ไปทำหลัง UAT-40 · แต่ **ขั้นตอนที่ 2 (จำนวนวันเดินทางติดลบ) ทำตรงตำแหน่งนี้ไม่ได้** เพราะระบบล็อกการแก้ไขทั้งฝ่ายตั้งแต่ตอนกด `Submit` ไม่ใช่ตอน `Approved` — สถานะ `Pending` ทั้ง 3 ขั้นล็อกเท่ากับ `Approved` ทุกประการ ทำให้ Trip Manager เปิดเป็นแบบอ่านอย่างเดียวและไม่มีปุ่ม `บันทึก &amp; ลงบัญชี` ให้กด · **หยุด — ต้องย้อนกลับไปทำขั้นตอนที่ 2 ทำทันทีหลัง UAT-26 ก่อนเริ่ม UAT-32** ซึ่งเป็นช่วงเดียวในรอบทดสอบที่ทริปยังแก้ไขได้ ถ้าไม่ทำตามป้ายนี้ การทดสอบจำนวนวันเดินทางติดลบจะหายไปจากรอบนี้ทั้งรอบ · ถ้าถึงตอนนั้นแล้วไม่มีทริปที่แก้ไขได้เหลืออยู่จริง ห้ามข้ามเงียบ ๆ ให้บันทึกเป็น Blocked พร้อมเหตุผลลงช่อง Remarks แล้วแจ้งหัวหน้าทีมทดสอบทันที (ฝ่าย Solution Delivery ไม่มีแถวงบให้ใช้แทน และปีอื่นนอกจากปีงบประมาณ 2027 ยังไม่เปิดให้กรอก) · ขั้นตอนที่ 3 ให้ปิด Wi-Fi ของเครื่องตัวเองเท่านั้น อย่าไปแตะอุปกรณ์เครือข่ายของสำนักงาน</t>
        </is>
      </c>
      <c r="N54" s="51" t="inlineStr">
        <is>
          <t>ข้อ 1 (ฝ่าย Data &amp; Analytic สถานะ Pending · Step 1): โหลดหน้าใหม่แล้วช่องเดือนทั้งหมดเป็นตัวหนังสืออ่านอย่างเดียว ไม่มีช่องพิมพ์เลย (0 ช่อง) ปุ่มฟอร์มย่อยเปลี่ยนเป็น '🔒 ดูรายละเอียด' tooltip 'อ่านอย่างเดียว — แก้ไม่ได้ในสถานะนี้' ปุ่มลบแถวหายทั้งหมด · ปุ่ม '+ เพิ่ม Transaction' ยังกดได้ → ฟอร์มเลือก Cost Center / GL เปิดขึ้น เลือก 10IT013000 + 6210900060 — ค่าไปรษณีย์ กด บันทึก → ข้อความสีแดงในฟอร์ม (คำต่อคำ): 'ฝ่าย "Data &amp; Analytic" อยู่ระหว่างอนุมัติหรืออนุมัติแล้ว ไม่สามารถเพิ่มรายการใหม่ในฝ่ายนี้ได้ในสถานะนี้' แถวไม่ถูกเพิ่ม (ยังคง 10 แถว) กด ยกเลิก ปิดฟอร์มได้ · ข้อ 4 สำหรับข้อความนี้: (ก) บอกสาเหตุ = ใช่ (ข) บอกสิ่งที่ต้องทำต่อ = ไม่ชัด (ไม่บอกว่าต้องรอตีกลับหรือรอรอบถัดไป) · ไม่มี stack trace / .py / SQL · ข้อ 2 (ทำตอนฝ่ายกลับเป็น Rejected หลัง UAT-41 ทริปแก้ได้อีกครั้ง): เปิด Trip Manager ผ่านปุ่มฟอร์มย่อย GL 6210400020 เห็นทริป 52 และ 53 (วันเดินทาง 5 / 5) · พิมพ์ -3 ลงช่องวันเดินทางของทริป 52 → ช่องรับค่าเป็น 3 ทันที (เครื่องหมายลบถูกตัดทิ้ง) ไม่มีข้อความแจ้งใด ๆ · กด บันทึก &amp; ลงบัญชี → บันทึกสำเร็จเงียบ ๆ ด้วยค่า 3 วัน (AI แก้กลับเป็น 5 และบันทึกซ้ำแล้ว ยอด per diem กลับเป็น 13,200 / 13,200 รวม 26,400 และรวมทั้งหมด 415,900.00 เท่าเดิม ตรวจหลังโหลดหน้าใหม่) · ข้อ 3 (จำลองตัดเครือข่ายเฉพาะ browser ทดสอบ ไม่แตะ Wi-Fi เครื่อง): พิมพ์ 4,100 ลงช่อง ก.ค. ของ GL 6210400999 (เดิม 4,000) คลิกออก → แถบข้อความ 'เชื่อมต่อเซิร์ฟเวอร์ไม่ได้ กรุณาตรวจสอบอินเทอร์เน็ต' ค่าที่พิมพ์ยังค้างบนจอ · คืนเครือข่ายแล้วโหลดหน้าใหม่ → ค่ากลับเป็น 4,000 (ไม่ถูกบันทึกระหว่างไม่มีเน็ต) · ข้อ 4: ข้อความข้อ 3 บอกสาเหตุ = ใช่ บอกสิ่งที่ต้องทำ = ใช่ (ตรวจอินเทอร์เน็ต) · ทุกข้อความไม่มี stack trace / .py / SQL · ข้อ 5: ตลอด W1-W7 ไม่พบข้อความแจ้งข้อผิดพลาดที่อ่านไม่รู้เรื่อง</t>
        </is>
      </c>
      <c r="O54" s="21" t="inlineStr">
        <is>
          <t>Pass</t>
        </is>
      </c>
      <c r="P54" s="22" t="n"/>
      <c r="Q54" s="22" t="n"/>
      <c r="R54" s="23" t="inlineStr">
        <is>
          <t>Pornthip</t>
        </is>
      </c>
      <c r="S54" s="24" t="n">
        <v>46274</v>
      </c>
      <c r="T54" s="51" t="inlineStr">
        <is>
          <t>[AI pre-run 09/09/2026] ผ่านทุกข้อ · ข้อ 2: ระบบกันค่าติดลบตั้งแต่ช่องกรอก (พิมพ์ -3 ได้ 3) ไม่มีข้อความ — jakkaritw ตัดสิน 2026-09-09 ว่ายอมรับได้ แก้ Expected ข้อ 2 ให้ตรงระบบแล้ว (AI แก้ทริป 52 กลับเป็น 5 วันแล้ว ยอดเท่าเดิม) · ปุ่ม + เพิ่ม Transaction ยังกดได้ในฝ่ายที่ล็อก (ปฏิเสธตอนบันทึกด้วยข้อความไทย) — jakkaritw ตัดสิน 2026-09-09 ว่ายอมรับได้ ไม่เปิด defect · ข้อ 3 ใช้การบล็อก API ใน browser ทดสอบแทนปิด Wi-Fi จริง รอบคนควรปิด Wi-Fi ซ้ำ 1 ครั้ง</t>
        </is>
      </c>
    </row>
    <row r="55" ht="324" customHeight="1">
      <c r="A55" s="18" t="inlineStr">
        <is>
          <t>W8</t>
        </is>
      </c>
      <c r="B55" s="18" t="n">
        <v>32</v>
      </c>
      <c r="C55" s="19" t="n">
        <v>53</v>
      </c>
      <c r="D55" s="20" t="inlineStr">
        <is>
          <t>UAT-53</t>
        </is>
      </c>
      <c r="E55" s="20" t="inlineStr">
        <is>
          <t>Business Rules &amp; UI</t>
        </is>
      </c>
      <c r="F55" s="20" t="inlineStr">
        <is>
          <t>Data &amp; Analytic</t>
        </is>
      </c>
      <c r="G55" s="18" t="n"/>
      <c r="H55" s="20" t="inlineStr">
        <is>
          <t>เงินต้องไม่หายเงียบ — ลบทริปแล้วยอดที่กรอกไว้ในช่อง 6210400999 ของ Cost Center และปีเดียวกันต้องยังอยู่ครบ</t>
        </is>
      </c>
      <c r="I55" s="19" t="inlineStr">
        <is>
          <t>High</t>
        </is>
      </c>
      <c r="J55" s="20" t="inlineStr">
        <is>
          <t>ฝ่าย Data &amp; Analytic ปีบนจอ Year 2026 ยังอยู่ในสถานะที่แก้ไขได้ (`Draft — not submitted` หรือถูกตีกลับแล้ว) — ถ้าส่งขออนุมัติไปแล้วจะกรอกยอดไม่ได้ ต้องทำเคสนี้ก่อนกด Submit หรือหลังจากถูกตีกลับ · มีทริปที่สร้างไว้ในระลอก W3 อย่างน้อย 1 ใบ อยู่ใน Cost Center และปีเดียวกันกับที่จะใช้ทดสอบ · ผู้ทดสอบเป็น Filler ของ Cost Center นั้น</t>
        </is>
      </c>
      <c r="K55" s="20" t="inlineStr">
        <is>
          <t>1. เลือกฝ่าย Data &amp; Analytic ปีบนจอ Year 2026 แล้วใช้ตัวกรองคอลัมน์ Cost Center เลือก Cost Center ที่จะใช้ทดสอบ (เช่น 10IT011300)
2. กด `+ เพิ่ม Transaction` เลือก Cost Center นั้นและ GL `6210400999` (ค่าใช้จ่ายเดินทางอื่น) แล้วเพิ่มแถวใหม่ · ถ้ามีแถวนี้อยู่แล้วให้ใช้แถวเดิม
3. กรอกยอด 5,000 ลงช่องเดือนกรกฎาคมของแถวนั้น แล้วคลิกออกจากช่องเพื่อให้ระบบบันทึกอัตโนมัติ
4. จดยอดที่ระบบแสดงในช่องนั้น (5,000 เป็นหลักร้อยอยู่แล้ว ระบบจึงไม่ปัดค่า) และจดยอด `รวมทั้งปี` ของแถวนั้น ลงช่อง Actual Result (นี่คือค่าตั้งต้น "ก่อนลบทริป")
5. เปิด Trip Manager ของ Cost Center และปีเดียวกัน โดยกดปุ่ม `แก้ไขผ่านฟอร์มย่อย` จากแถว GL เบี้ยเลี้ยง ค่าพาหนะ หรือค่าที่พัก ที่มีทริปอยู่
6. เลือกทริปที่สร้างไว้ในระลอก W3 แล้วกดลบทริป และยืนยันที่กล่อง `ลบทริปนี้ทั้งหมด?`
7. ปิดหน้าต่าง Trip Manager กลับมาที่ตารางหลัก แล้วโหลดหน้าใหม่ (refresh)
8. ดูแถว GL `6210400999` ของ Cost Center เดิมอีกครั้ง จดยอดในช่องเดือนกรกฎาคมและยอด `รวมทั้งปี` ที่เห็น ลงช่อง Actual Result (นี่คือค่า "หลังลบทริป") แล้วเทียบกับค่าที่จดไว้ในขั้นตอนที่ 4</t>
        </is>
      </c>
      <c r="L55" s="20" t="inlineStr">
        <is>
          <t>Cost Center: 10IT011300 (หรือ Cost Center อื่นในฝ่าย Data &amp; Analytic) · GL: 6210400999 (ค่าใช้จ่ายเดินทางอื่น) · ยอดทดสอบ: 5,000 ในเดือนกรกฎาคม · ทริปที่จะลบ: ทริปที่สร้างขึ้นเองในระลอก W3 ของ Cost Center และปีเดียวกัน</t>
        </is>
      </c>
      <c r="M55" s="20" t="inlineStr">
        <is>
          <t>1) ยอดในช่องเดือนกรกฎาคมของแถว GL `6210400999` ยังเป็นค่าเดิมทุกบาท ไม่หายไปและไม่กลายเป็น 0
2) แถว GL `6210400999` ยังคงอยู่ในตาราง ไม่ถูกลบทิ้งไปพร้อมทริป
3) ยอด `รวมทั้งปี` ของแถวนั้นเท่ากับก่อนลบทริป
4) ยอดที่จดไว้ในขั้นตอนที่ 4 และขั้นตอนที่ 8 เป็นตัวเลขเดียวกัน
5) ยอดที่เปลี่ยนได้มีเฉพาะ 3 GL ของทริป (เบี้ยเลี้ยง ค่าพาหนะ ค่าที่พัก) ที่ถูกลบไปพร้อมทริปเท่านั้น
— หมายเหตุสำคัญ —
เคสนี้คือการยืนยันการแก้บั๊ก "เงินหายเงียบ ๆ" — ตอนที่ยังเป็นบั๊ก เงินหายโดยไม่มีข้อความแจ้ง ไม่มี log และไม่มีอีเมล ผู้ใช้จึงไม่มีทางรู้ตัว ถ้าตัวเลขในขั้นตอนที่ 8 ไม่เท่ากับขั้นตอนที่ 4 ให้เปิด Defect ระดับ Blocker ทันที · การลบทริปย้อนกลับไม่ได้ ให้ลบเฉพาะทริปที่สร้างขึ้นเองในรอบ UAT นี้เท่านั้น ห้ามลบทริปของคนอื่น · ต้องทำเคสนี้ตอนที่ฝ่ายยังแก้ไขได้ ถ้าฝ่ายถูกล็อกจากการ Submit ไปแล้ว ให้เลื่อนไปทำหลังจากถูกตีกลับ หรือทำก่อนเริ่มระลอก W5</t>
        </is>
      </c>
      <c r="N55" s="51" t="inlineStr">
        <is>
          <t>ใช้ Cost Center 10IT013000 (ที่มีทริปของระลอก W3) · เพิ่มแถว 6210400999 ผ่านฟอร์ม + เพิ่ม Transaction · กรอก ก.ค. 5000 → ช่องแสดง 5000 รวมทั้งปี 5,000.00 (ค่าตั้งต้น) · เปิด Trip Manager จากแถวค่าพาหนะ ลบทริป existing-54 (Thailand มิ.ย. 3 วัน ที่สร้างใน UAT-25) ยืนยันที่กล่อง 'ลบทริปนี้ทั้งหมด?' · ปิดหน้าต่าง refresh → แถว 6210400999 ยังอยู่ ก.ค. = 5000 รวมทั้งปี 5,000.00 เท่าเดิมทุกบาท · ยอดที่เปลี่ยนมีเฉพาะ GL ของทริป: เบี้ยเลี้ยง มิ.ย. 750.00 → — (รวมปี 27,150 → 26,400) · ค่าพาหนะ/ค่าที่พักไม่เปลี่ยน (ทริปที่ลบไม่มียอด 2 แถวนี้) · GL อื่นทั้งหมดเท่าเดิม (135,500 / 38,000 / 101,000 / 32,000 / 36,000)</t>
        </is>
      </c>
      <c r="O55" s="21" t="inlineStr">
        <is>
          <t>Pass</t>
        </is>
      </c>
      <c r="P55" s="22" t="n"/>
      <c r="Q55" s="22" t="n"/>
      <c r="R55" s="23" t="inlineStr">
        <is>
          <t>ไม่ระบุชื่อในเคส (ต้องเป็น Filler ของ Cost Center นั้น = Pornthip)</t>
        </is>
      </c>
      <c r="S55" s="24" t="n">
        <v>46274</v>
      </c>
      <c r="T55" s="51" t="inlineStr">
        <is>
          <t>[AI pre-run 09/09/2026] ผ่าน Expected ข้อ 1-5 ทุกข้อ · บั๊ก 'เงินหายเงียบ' ไม่เกิดซ้ำ · เบี่ยงเบนจาก Test Data: ใช้ CC 10IT013000 แทน 10IT011300 เพราะทริปทั้งหมดอยู่ที่ 10IT013000 และเคสบังคับว่าต้องเป็น CC เดียวกับทริป (10IT011300 ไม่มีทริป) · ทริปที่เหลือ: existing-52 (พ.ค.) และ existing-53 (เม.ย.)</t>
        </is>
      </c>
    </row>
    <row r="56" ht="420" customHeight="1">
      <c r="A56" s="18" t="inlineStr">
        <is>
          <t>W8</t>
        </is>
      </c>
      <c r="B56" s="18" t="n">
        <v>33</v>
      </c>
      <c r="C56" s="19" t="n">
        <v>54</v>
      </c>
      <c r="D56" s="20" t="inlineStr">
        <is>
          <t>UAT-54</t>
        </is>
      </c>
      <c r="E56" s="20" t="inlineStr">
        <is>
          <t>Business Rules &amp; UI</t>
        </is>
      </c>
      <c r="F56" s="20" t="inlineStr">
        <is>
          <t>Data &amp; Analytic</t>
        </is>
      </c>
      <c r="G56" s="18" t="n"/>
      <c r="H56" s="20" t="inlineStr">
        <is>
          <t>เปลี่ยนอัตราแลกเปลี่ยนแล้วฟอร์มย่อยแสดงยอดใหม่ทันที แต่ตารางหลักยังเป็นยอดเดิมจนกดบันทึกซ้ำ — ผู้ใช้เซ็นรับทราบว่ายอมรับพฤติกรรมนี้</t>
        </is>
      </c>
      <c r="I56" s="19" t="inlineStr">
        <is>
          <t>Medium</t>
        </is>
      </c>
      <c r="J56" s="20" t="inlineStr">
        <is>
          <t>มีทริป **ต่างประเทศ** ที่สร้างไว้ในระลอก W3 อย่างน้อย 1 ใบ (เช่น ปลายทาง Singapore) เพราะทริปในประเทศคิดเป็นเงินบาทอยู่แล้ว จึงไม่ได้รับผลจากอัตราแลกเปลี่ยน · ฝ่าย Data &amp; Analytic ปีบนจอ Year 2026 ยังอยู่ในสถานะที่แก้ไขได้ เพราะขั้นตอนนี้ต้องกด `บันทึก &amp; ลงบัญชี` ซ้ำ · ต้องมีผู้ดูแลระบบ (admin) ที่แก้อัตราแลกเปลี่ยนในไฟล์ master ได้ และพร้อมคืนค่าเดิมทันทีที่ทดสอบเสร็จ</t>
        </is>
      </c>
      <c r="K56" s="20" t="inlineStr">
        <is>
          <t>1. เปิดทริปต่างประเทศใบเดิมขึ้นมา จดยอดเบี้ยเลี้ยงที่ฟอร์มย่อยแสดง และจดยอดของ 3 GL (เบี้ยเลี้ยง ค่าพาหนะ ค่าที่พัก) ที่ตารางหลักแสดง ลงช่อง Actual Result (ค่าตั้งต้น)
2. ขอให้ผู้ดูแลระบบแก้อัตราแลกเปลี่ยน USD ต่อ THB ใน master แล้วรอให้ระบบรับค่าใหม่ · จดทั้งค่าเดิมและค่าใหม่ไว้ · ถ้าเปิดฟอร์มย่อยในขั้นตอนถัดไปแล้วยอดยังไม่เปลี่ยน ให้ถามผู้ดูแลระบบก่อนว่าค่าใหม่เข้าระบบแล้วหรือยัง อย่าเพิ่งบันทึกเป็น Fail
3. เปิดทริปใบเดิมขึ้นมาใหม่ ดูยอดเบี้ยเลี้ยงในฟอร์มย่อย แล้วจดยอดที่เห็น
4. ปิดฟอร์มโดย **ยังไม่กด** `บันทึก &amp; ลงบัญชี` แล้วดูยอดของ 3 GL ในตารางหลัก จดยอดที่เห็น (เทียบเฉพาะแถวเบี้ยเลี้ยงเป็นหลัก อีก 2 แถวเป็นยอดที่กรอกเองจึงต้องเท่าเดิม)
5. เปิดทริปใบเดิมอีกครั้ง แล้วกด `บันทึก &amp; ลงบัญชี` หนึ่งครั้ง ปิดหน้าต่าง แล้วดูยอดของ 3 GL ในตารางหลักอีกครั้ง จดยอดที่เห็น
6. ขอให้ผู้ดูแลระบบคืนค่าอัตราแลกเปลี่ยนเดิม แล้วเปิดทริปกด `บันทึก &amp; ลงบัญชี` ซ้ำอีกครั้ง เพื่อให้ยอดในตารางกลับไปเป็นค่าตั้งต้นของขั้นตอนที่ 1
7. อธิบายพฤติกรรมนี้ให้ผู้ใช้ฟัง แล้วให้ผู้ใช้บันทึกคำตอบลงช่อง Remarks ว่า "รับทราบและยอมรับพฤติกรรมนี้" หรือ "ไม่ยอมรับ ต้องการให้ระบบอัปเดตยอดในตารางให้อัตโนมัติ"</t>
        </is>
      </c>
      <c r="L56" s="20" t="inlineStr">
        <is>
          <t>ทริปต่างประเทศ 1 ใบ (เช่น ปลายทาง Singapore) · อัตราแลกเปลี่ยน USD ต่อ THB: จดค่าเดิม ___ และค่าที่ใช้ทดสอบ ___ · ยอดเบี้ยเลี้ยงในฟอร์มย่อย: ก่อนเปลี่ยน ___ / หลังเปลี่ยน ___ · ยอดเบี้ยเลี้ยงในตารางหลัก: ก่อนเปลี่ยน ___ / หลังเปลี่ยนแต่ยังไม่บันทึกซ้ำ ___ / หลังกดบันทึกซ้ำ ___ · ยอดค่าพาหนะและค่าที่พักในตารางหลัก (ต้องเท่าเดิมตลอดเคส): ___</t>
        </is>
      </c>
      <c r="M56" s="20" t="inlineStr">
        <is>
          <t>1) ฟอร์มย่อย (Trip Manager) แสดงยอดเบี้ยเลี้ยงที่คำนวณด้วยอัตราแลกเปลี่ยนใหม่ทันทีที่เปิดขึ้นมา โดยไม่ต้องทำอะไรเพิ่ม
2) ตารางหลักยังแสดงยอดเบี้ยเลี้ยงเดิมที่บันทึกไว้ตอนกดบันทึกครั้งก่อน จนกว่าจะกด `บันทึก &amp; ลงบัญชี` ซ้ำ — ยอดสองที่ไม่ตรงกันชั่วคราวในช่วงนี้เป็นพฤติกรรมที่ตั้งใจไว้ ไม่ใช่ข้อผิดพลาด
3) หลังกด `บันทึก &amp; ลงบัญชี` ยอด **เบี้ยเลี้ยง** ในตารางหลักเปลี่ยนเป็นยอดใหม่และตรงกับที่ฟอร์มย่อยแสดง · ยอด **ค่าพาหนะ** และ **ค่าที่พัก** ไม่เปลี่ยน เพราะเป็นยอดที่ผู้ใช้กรอกเองเป็นเงินบาท ไม่ได้คำนวณจากอัตราแลกเปลี่ยน — สองแถวนี้เท่าเดิมถือว่าถูกต้อง ไม่ใช่ Fail
4) หลังคืนอัตราแลกเปลี่ยนเดิมและกดบันทึกซ้ำ ยอดเบี้ยเลี้ยงในตารางหลักกลับไปเท่ากับค่าตั้งต้นที่จดไว้ในขั้นตอนที่ 1 ทุกบาท และยอดค่าพาหนะกับค่าที่พักยังเท่าเดิมตลอดทั้งเคส
5) ผู้ใช้บันทึกคำตอบลงช่อง Remarks แล้ว — ตอบว่ายอมรับหรือไม่ยอมรับก็ได้ ทั้งสองคำตอบไม่ทำให้เคสนี้เป็น Fail ถ้าตอบว่าไม่ยอมรับ ให้บันทึกเป็นความต้องการเพิ่มเติม ไม่ใช่ defect
— หมายเหตุสำคัญ —
พฤติกรรมนี้ตัดสินไปแล้วเมื่อ 2026-08-21 ว่าจะไม่แก้ (jakkaritw) — **ห้ามแจ้งเป็น defect** จุดประสงค์ของเคสนี้คือให้ผู้ใช้รับรู้และเซ็นรับทราบก่อนใช้งานจริง ไม่ใช่การหาข้อบกพร่อง · การแก้อัตราแลกเปลี่ยนคือการแก้ข้อมูล master จริงบนระบบจริง ให้ผู้ดูแลระบบเป็นคนทำเท่านั้น จดค่าเดิมไว้ก่อน และคืนค่าเดิมทันทีที่ทดสอบเสร็จ · ถ้าทีมตัดสินว่าไม่ควรแตะ master จริงในรอบนี้ ให้ข้ามขั้นตอนที่ 2 ถึง 6 แล้วทำเฉพาะขั้นตอนที่ 7 (อธิบายพฤติกรรมให้ผู้ใช้ฟังแล้วบันทึกคำตอบ) พร้อมระบุใน Actual Result ว่าเลือกใช้ทางเลือกใด · ต้องทำเคสนี้ก่อนที่ฝ่ายจะถูกอนุมัติครบ 3 ขั้น เพราะต้องกด `บันทึก &amp; ลงบัญชี` ซ้ำได้</t>
        </is>
      </c>
      <c r="N56" s="51" t="inlineStr">
        <is>
          <t>ค่าตั้งต้น (ขั้นตอนที่ 1) จดไว้แล้ว: ทริปต่างประเทศ Singapore 5 วัน (ทริป existing-53 เดือน เม.ย. และ existing-52 เดือน พ.ค.) เบี้ยเลี้ยงในฟอร์มย่อย = 13,200.00 ต่อทริป · ตารางหลัก 6210400010 เม.ย. 13,200.00 / พ.ค. 13,200.00 · 6210400020 พ.ค. 18,000.00 · 6210400030 พ.ค. 25,000.00 · อัตราแลกเปลี่ยนใน master ปี 2027 = 33.0000 USD/THB (dbo.master_currency_rate) · ขั้นตอนที่ 2-6 (ให้ admin แก้อัตราแลกเปลี่ยนในไฟล์ master จริงแล้วคืนค่า) AI ไม่ทำ เพราะเป็นการแก้ master ของทั้งบริษัทบนระบบจริง</t>
        </is>
      </c>
      <c r="O56" s="21" t="inlineStr">
        <is>
          <t>Pass</t>
        </is>
      </c>
      <c r="P56" s="22" t="n"/>
      <c r="Q56" s="22" t="n"/>
      <c r="R56" s="23" t="inlineStr">
        <is>
          <t>Pornthip</t>
        </is>
      </c>
      <c r="S56" s="24" t="n">
        <v>46274</v>
      </c>
      <c r="T56" s="51" t="inlineStr">
        <is>
          <t>[AI pre-run 09/09/2026] ทางเลือกตาม note ของเคส: ข้ามขั้นตอน 2-6 ทำเฉพาะขั้นตอนที่ 7 · ต้องให้คนอธิบายพฤติกรรม (ฟอร์มย่อยคำนวณใหม่ทันที แต่ตารางหลักคงยอดเดิมจนกดบันทึกซ้ำ — ตัดสินแล้ว 2026-08-21 ว่าไม่แก้) แล้วให้ผู้ใช้เขียนใน Remarks ว่ารับทราบหรือไม่ · ถ้าทีมตัดสินใจทดสอบจริง admin ต้องแก้ค่า 33.0000 แล้วคืนค่าทันที · jakkaritw ตัดสิน 2026-09-09: อ่านเข้าใจ / ยอมรับได้ → Pass</t>
        </is>
      </c>
    </row>
  </sheetData>
  <autoFilter ref="A2:T56"/>
  <mergeCells count="1">
    <mergeCell ref="A1:T1"/>
  </mergeCells>
  <dataValidations count="4">
    <dataValidation sqref="I3:I56" showDropDown="0" showInputMessage="0" showErrorMessage="0" allowBlank="1" type="list">
      <formula1>"High,Medium,Low"</formula1>
    </dataValidation>
    <dataValidation sqref="F3:F56" showDropDown="0" showInputMessage="0" showErrorMessage="0" allowBlank="1" type="list">
      <formula1>"Data &amp; Analytic,Solution Delivery,ทั้งสองฝ่าย,-"</formula1>
    </dataValidation>
    <dataValidation sqref="O3:O56" showDropDown="0" showInputMessage="0" showErrorMessage="0" allowBlank="1" type="list">
      <formula1>"Not Run,Pass,Fail,Blocked,N/A"</formula1>
    </dataValidation>
    <dataValidation sqref="P3:P56" showDropDown="0" showInputMessage="0" showErrorMessage="0" allowBlank="1" type="list">
      <formula1>"Critical,High,Medium,Low,-"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P26"/>
  <sheetViews>
    <sheetView showGridLines="0" workbookViewId="0">
      <selection activeCell="A1" sqref="A1"/>
    </sheetView>
  </sheetViews>
  <sheetFormatPr baseColWidth="8" defaultRowHeight="15"/>
  <cols>
    <col width="2.29" customWidth="1" min="1" max="1"/>
    <col width="26" customWidth="1" min="2" max="2"/>
    <col width="8" customWidth="1" min="3" max="3"/>
    <col width="8" customWidth="1" min="4" max="4"/>
    <col width="8" customWidth="1" min="5" max="5"/>
    <col width="2.29" customWidth="1" min="6" max="6"/>
    <col width="8" customWidth="1" min="7" max="7"/>
    <col width="30" customWidth="1" min="8" max="8"/>
    <col width="8" customWidth="1" min="9" max="9"/>
    <col width="8" customWidth="1" min="10" max="10"/>
    <col width="8" customWidth="1" min="11" max="11"/>
    <col width="2.29" customWidth="1" min="12" max="12"/>
    <col width="20" customWidth="1" min="13" max="13"/>
    <col width="8" customWidth="1" min="14" max="14"/>
    <col width="8" customWidth="1" min="15" max="15"/>
    <col width="8" customWidth="1" min="16" max="16"/>
  </cols>
  <sheetData>
    <row r="2" ht="27.75" customHeight="1">
      <c r="B2" s="63" t="inlineStr">
        <is>
          <t>UAT Test Execution — Summary  ·  Round 1  ·  FY2027</t>
        </is>
      </c>
      <c r="C2" s="50" t="n"/>
      <c r="D2" s="50" t="n"/>
      <c r="E2" s="50" t="n"/>
      <c r="F2" s="50" t="n"/>
      <c r="G2" s="50" t="n"/>
      <c r="H2" s="50" t="n"/>
      <c r="I2" s="50" t="n"/>
      <c r="J2" s="50" t="n"/>
      <c r="K2" s="50" t="n"/>
      <c r="L2" s="50" t="n"/>
      <c r="M2" s="50" t="n"/>
      <c r="N2" s="50" t="n"/>
      <c r="O2" s="50" t="n"/>
      <c r="P2" s="50" t="n"/>
    </row>
    <row r="3" ht="15.75" customHeight="1">
      <c r="B3" s="64" t="inlineStr">
        <is>
          <t>สรุปผลอัตโนมัติจากแท็บ “2. Test Cases” (ไม่ต้องกรอกเอง) · ทุกสูตรนับช่วงแถวจริง 3–56</t>
        </is>
      </c>
      <c r="C3" s="50" t="n"/>
      <c r="D3" s="50" t="n"/>
      <c r="E3" s="50" t="n"/>
      <c r="F3" s="50" t="n"/>
      <c r="G3" s="50" t="n"/>
      <c r="H3" s="50" t="n"/>
      <c r="I3" s="50" t="n"/>
      <c r="J3" s="50" t="n"/>
      <c r="K3" s="50" t="n"/>
      <c r="L3" s="50" t="n"/>
      <c r="M3" s="50" t="n"/>
      <c r="N3" s="50" t="n"/>
      <c r="O3" s="50" t="n"/>
      <c r="P3" s="50" t="n"/>
    </row>
    <row r="5">
      <c r="B5" s="27" t="inlineStr">
        <is>
          <t>Result</t>
        </is>
      </c>
      <c r="C5" s="28" t="inlineStr">
        <is>
          <t>Count</t>
        </is>
      </c>
      <c r="D5" s="50" t="n"/>
      <c r="E5" s="52" t="n"/>
    </row>
    <row r="6" ht="16.5" customHeight="1">
      <c r="B6" s="29" t="inlineStr">
        <is>
          <t>Total test cases</t>
        </is>
      </c>
      <c r="C6" s="30">
        <f>COUNTA('2. Test Cases'!$D$3:$D$56)</f>
        <v/>
      </c>
      <c r="D6" s="50" t="n"/>
      <c r="E6" s="52" t="n"/>
    </row>
    <row r="7" ht="16.5" customHeight="1">
      <c r="B7" s="31" t="inlineStr">
        <is>
          <t>Pass</t>
        </is>
      </c>
      <c r="C7" s="32">
        <f>COUNTIF('2. Test Cases'!$O$3:$O$56,"Pass")</f>
        <v/>
      </c>
      <c r="D7" s="50" t="n"/>
      <c r="E7" s="52" t="n"/>
    </row>
    <row r="8" ht="16.5" customHeight="1">
      <c r="B8" s="33" t="inlineStr">
        <is>
          <t>Fail</t>
        </is>
      </c>
      <c r="C8" s="34">
        <f>COUNTIF('2. Test Cases'!$O$3:$O$56,"Fail")</f>
        <v/>
      </c>
      <c r="D8" s="50" t="n"/>
      <c r="E8" s="52" t="n"/>
    </row>
    <row r="9" ht="16.5" customHeight="1">
      <c r="B9" s="35" t="inlineStr">
        <is>
          <t>Blocked</t>
        </is>
      </c>
      <c r="C9" s="36">
        <f>COUNTIF('2. Test Cases'!$O$3:$O$56,"Blocked")</f>
        <v/>
      </c>
      <c r="D9" s="50" t="n"/>
      <c r="E9" s="52" t="n"/>
    </row>
    <row r="10" ht="16.5" customHeight="1">
      <c r="B10" s="37" t="inlineStr">
        <is>
          <t>Not Run (ยังไม่ได้ทดสอบ)</t>
        </is>
      </c>
      <c r="C10" s="38">
        <f>C6-C7-C8-C9-C11</f>
        <v/>
      </c>
      <c r="D10" s="50" t="n"/>
      <c r="E10" s="52" t="n"/>
    </row>
    <row r="11" ht="16.5" customHeight="1">
      <c r="B11" s="37" t="inlineStr">
        <is>
          <t>N/A</t>
        </is>
      </c>
      <c r="C11" s="38">
        <f>COUNTIF('2. Test Cases'!$O$3:$O$56,"N/A")</f>
        <v/>
      </c>
      <c r="D11" s="50" t="n"/>
      <c r="E11" s="52" t="n"/>
    </row>
    <row r="12" ht="24.75" customHeight="1">
      <c r="B12" s="39" t="inlineStr">
        <is>
          <t>Pass Rate (Pass / Executed)</t>
        </is>
      </c>
      <c r="C12" s="40">
        <f>IFERROR(COUNTIF('2. Test Cases'!$O$3:$O$56,"Pass")/(COUNTIF('2. Test Cases'!$O$3:$O$56,"Pass")+COUNTIF('2. Test Cases'!$O$3:$O$56,"Fail")+COUNTIF('2. Test Cases'!$O$3:$O$56,"Blocked")),"-")</f>
        <v/>
      </c>
      <c r="D12" s="50" t="n"/>
      <c r="E12" s="52" t="n"/>
    </row>
    <row r="14" ht="18" customHeight="1">
      <c r="B14" s="65" t="inlineStr">
        <is>
          <t>Breakdown by Module</t>
        </is>
      </c>
      <c r="C14" s="50" t="n"/>
      <c r="D14" s="50" t="n"/>
      <c r="E14" s="50" t="n"/>
      <c r="G14" s="65" t="inlineStr">
        <is>
          <t>Breakdown by Wave</t>
        </is>
      </c>
      <c r="H14" s="50" t="n"/>
      <c r="I14" s="50" t="n"/>
      <c r="J14" s="50" t="n"/>
      <c r="K14" s="50" t="n"/>
      <c r="M14" s="65" t="inlineStr">
        <is>
          <t>Breakdown by Department</t>
        </is>
      </c>
      <c r="N14" s="50" t="n"/>
      <c r="O14" s="50" t="n"/>
      <c r="P14" s="50" t="n"/>
    </row>
    <row r="15" ht="15.75" customHeight="1">
      <c r="B15" s="28" t="inlineStr">
        <is>
          <t>Module</t>
        </is>
      </c>
      <c r="C15" s="28" t="inlineStr">
        <is>
          <t>Total</t>
        </is>
      </c>
      <c r="D15" s="28" t="inlineStr">
        <is>
          <t>Pass</t>
        </is>
      </c>
      <c r="E15" s="28" t="inlineStr">
        <is>
          <t>Fail</t>
        </is>
      </c>
      <c r="G15" s="28" t="inlineStr">
        <is>
          <t>Wave</t>
        </is>
      </c>
      <c r="H15" s="28" t="inlineStr">
        <is>
          <t>ชื่อระลอก</t>
        </is>
      </c>
      <c r="I15" s="28" t="inlineStr">
        <is>
          <t>Total</t>
        </is>
      </c>
      <c r="J15" s="28" t="inlineStr">
        <is>
          <t>Pass</t>
        </is>
      </c>
      <c r="K15" s="28" t="inlineStr">
        <is>
          <t>Fail</t>
        </is>
      </c>
      <c r="M15" s="28" t="inlineStr">
        <is>
          <t>Department</t>
        </is>
      </c>
      <c r="N15" s="28" t="inlineStr">
        <is>
          <t>Total</t>
        </is>
      </c>
      <c r="O15" s="28" t="inlineStr">
        <is>
          <t>Pass</t>
        </is>
      </c>
      <c r="P15" s="28" t="inlineStr">
        <is>
          <t>Fail</t>
        </is>
      </c>
    </row>
    <row r="16" ht="15" customHeight="1">
      <c r="B16" s="43" t="inlineStr">
        <is>
          <t>Login / Authentication</t>
        </is>
      </c>
      <c r="C16" s="44">
        <f>COUNTIF('2. Test Cases'!$E$3:$E$56,"Login / Authentication")</f>
        <v/>
      </c>
      <c r="D16" s="45">
        <f>COUNTIFS('2. Test Cases'!$E$3:$E$56,"Login / Authentication",'2. Test Cases'!$O$3:$O$56,"Pass")</f>
        <v/>
      </c>
      <c r="E16" s="46">
        <f>COUNTIFS('2. Test Cases'!$E$3:$E$56,"Login / Authentication",'2. Test Cases'!$O$3:$O$56,"Fail")</f>
        <v/>
      </c>
      <c r="G16" s="43" t="inlineStr">
        <is>
          <t>W1</t>
        </is>
      </c>
      <c r="H16" s="43" t="inlineStr">
        <is>
          <t>เข้าระบบและสิทธิ์ที่มองเห็น</t>
        </is>
      </c>
      <c r="I16" s="44">
        <f>COUNTIF('2. Test Cases'!$A$3:$A$56,"W1")</f>
        <v/>
      </c>
      <c r="J16" s="45">
        <f>COUNTIFS('2. Test Cases'!$A$3:$A$56,"W1",'2. Test Cases'!$O$3:$O$56,"Pass")</f>
        <v/>
      </c>
      <c r="K16" s="46">
        <f>COUNTIFS('2. Test Cases'!$A$3:$A$56,"W1",'2. Test Cases'!$O$3:$O$56,"Fail")</f>
        <v/>
      </c>
      <c r="M16" s="43" t="inlineStr">
        <is>
          <t>Data &amp; Analytic</t>
        </is>
      </c>
      <c r="N16" s="44">
        <f>COUNTIF('2. Test Cases'!$F$3:$F$56,"Data &amp; Analytic")</f>
        <v/>
      </c>
      <c r="O16" s="45">
        <f>COUNTIFS('2. Test Cases'!$F$3:$F$56,"Data &amp; Analytic",'2. Test Cases'!$O$3:$O$56,"Pass")</f>
        <v/>
      </c>
      <c r="P16" s="46">
        <f>COUNTIFS('2. Test Cases'!$F$3:$F$56,"Data &amp; Analytic",'2. Test Cases'!$O$3:$O$56,"Fail")</f>
        <v/>
      </c>
    </row>
    <row r="17" ht="15" customHeight="1">
      <c r="B17" s="43" t="inlineStr">
        <is>
          <t>Budget Entry (Filler)</t>
        </is>
      </c>
      <c r="C17" s="44">
        <f>COUNTIF('2. Test Cases'!$E$3:$E$56,"Budget Entry (Filler)")</f>
        <v/>
      </c>
      <c r="D17" s="45">
        <f>COUNTIFS('2. Test Cases'!$E$3:$E$56,"Budget Entry (Filler)",'2. Test Cases'!$O$3:$O$56,"Pass")</f>
        <v/>
      </c>
      <c r="E17" s="46">
        <f>COUNTIFS('2. Test Cases'!$E$3:$E$56,"Budget Entry (Filler)",'2. Test Cases'!$O$3:$O$56,"Fail")</f>
        <v/>
      </c>
      <c r="G17" s="43" t="inlineStr">
        <is>
          <t>W2</t>
        </is>
      </c>
      <c r="H17" s="43" t="inlineStr">
        <is>
          <t>กรอกงบในตารางหลัก</t>
        </is>
      </c>
      <c r="I17" s="44">
        <f>COUNTIF('2. Test Cases'!$A$3:$A$56,"W2")</f>
        <v/>
      </c>
      <c r="J17" s="45">
        <f>COUNTIFS('2. Test Cases'!$A$3:$A$56,"W2",'2. Test Cases'!$O$3:$O$56,"Pass")</f>
        <v/>
      </c>
      <c r="K17" s="46">
        <f>COUNTIFS('2. Test Cases'!$A$3:$A$56,"W2",'2. Test Cases'!$O$3:$O$56,"Fail")</f>
        <v/>
      </c>
      <c r="M17" s="43" t="inlineStr">
        <is>
          <t>Solution Delivery</t>
        </is>
      </c>
      <c r="N17" s="44">
        <f>COUNTIF('2. Test Cases'!$F$3:$F$56,"Solution Delivery")</f>
        <v/>
      </c>
      <c r="O17" s="45">
        <f>COUNTIFS('2. Test Cases'!$F$3:$F$56,"Solution Delivery",'2. Test Cases'!$O$3:$O$56,"Pass")</f>
        <v/>
      </c>
      <c r="P17" s="46">
        <f>COUNTIFS('2. Test Cases'!$F$3:$F$56,"Solution Delivery",'2. Test Cases'!$O$3:$O$56,"Fail")</f>
        <v/>
      </c>
    </row>
    <row r="18" ht="15" customHeight="1">
      <c r="B18" s="43" t="inlineStr">
        <is>
          <t>Special GL Subform</t>
        </is>
      </c>
      <c r="C18" s="44">
        <f>COUNTIF('2. Test Cases'!$E$3:$E$56,"Special GL Subform")</f>
        <v/>
      </c>
      <c r="D18" s="45">
        <f>COUNTIFS('2. Test Cases'!$E$3:$E$56,"Special GL Subform",'2. Test Cases'!$O$3:$O$56,"Pass")</f>
        <v/>
      </c>
      <c r="E18" s="46">
        <f>COUNTIFS('2. Test Cases'!$E$3:$E$56,"Special GL Subform",'2. Test Cases'!$O$3:$O$56,"Fail")</f>
        <v/>
      </c>
      <c r="G18" s="43" t="inlineStr">
        <is>
          <t>W3</t>
        </is>
      </c>
      <c r="H18" s="43" t="inlineStr">
        <is>
          <t>ฟอร์มย่อยและทริปเดินทาง</t>
        </is>
      </c>
      <c r="I18" s="44">
        <f>COUNTIF('2. Test Cases'!$A$3:$A$56,"W3")</f>
        <v/>
      </c>
      <c r="J18" s="45">
        <f>COUNTIFS('2. Test Cases'!$A$3:$A$56,"W3",'2. Test Cases'!$O$3:$O$56,"Pass")</f>
        <v/>
      </c>
      <c r="K18" s="46">
        <f>COUNTIFS('2. Test Cases'!$A$3:$A$56,"W3",'2. Test Cases'!$O$3:$O$56,"Fail")</f>
        <v/>
      </c>
      <c r="M18" s="43" t="inlineStr">
        <is>
          <t>ทั้งสองฝ่าย</t>
        </is>
      </c>
      <c r="N18" s="44">
        <f>COUNTIF('2. Test Cases'!$F$3:$F$56,"ทั้งสองฝ่าย")</f>
        <v/>
      </c>
      <c r="O18" s="45">
        <f>COUNTIFS('2. Test Cases'!$F$3:$F$56,"ทั้งสองฝ่าย",'2. Test Cases'!$O$3:$O$56,"Pass")</f>
        <v/>
      </c>
      <c r="P18" s="46">
        <f>COUNTIFS('2. Test Cases'!$F$3:$F$56,"ทั้งสองฝ่าย",'2. Test Cases'!$O$3:$O$56,"Fail")</f>
        <v/>
      </c>
    </row>
    <row r="19" ht="15" customHeight="1">
      <c r="B19" s="43" t="inlineStr">
        <is>
          <t>Attachments</t>
        </is>
      </c>
      <c r="C19" s="44">
        <f>COUNTIF('2. Test Cases'!$E$3:$E$56,"Attachments")</f>
        <v/>
      </c>
      <c r="D19" s="45">
        <f>COUNTIFS('2. Test Cases'!$E$3:$E$56,"Attachments",'2. Test Cases'!$O$3:$O$56,"Pass")</f>
        <v/>
      </c>
      <c r="E19" s="46">
        <f>COUNTIFS('2. Test Cases'!$E$3:$E$56,"Attachments",'2. Test Cases'!$O$3:$O$56,"Fail")</f>
        <v/>
      </c>
      <c r="G19" s="43" t="inlineStr">
        <is>
          <t>W4</t>
        </is>
      </c>
      <c r="H19" s="43" t="inlineStr">
        <is>
          <t>แนบเอกสาร</t>
        </is>
      </c>
      <c r="I19" s="44">
        <f>COUNTIF('2. Test Cases'!$A$3:$A$56,"W4")</f>
        <v/>
      </c>
      <c r="J19" s="45">
        <f>COUNTIFS('2. Test Cases'!$A$3:$A$56,"W4",'2. Test Cases'!$O$3:$O$56,"Pass")</f>
        <v/>
      </c>
      <c r="K19" s="46">
        <f>COUNTIFS('2. Test Cases'!$A$3:$A$56,"W4",'2. Test Cases'!$O$3:$O$56,"Fail")</f>
        <v/>
      </c>
      <c r="M19" s="43" t="inlineStr">
        <is>
          <t>-</t>
        </is>
      </c>
      <c r="N19" s="44">
        <f>COUNTIF('2. Test Cases'!$F$3:$F$56,"-")</f>
        <v/>
      </c>
      <c r="O19" s="45">
        <f>COUNTIFS('2. Test Cases'!$F$3:$F$56,"-",'2. Test Cases'!$O$3:$O$56,"Pass")</f>
        <v/>
      </c>
      <c r="P19" s="46">
        <f>COUNTIFS('2. Test Cases'!$F$3:$F$56,"-",'2. Test Cases'!$O$3:$O$56,"Fail")</f>
        <v/>
      </c>
    </row>
    <row r="20" ht="15.75" customHeight="1">
      <c r="B20" s="43" t="inlineStr">
        <is>
          <t>Submission / Workflow</t>
        </is>
      </c>
      <c r="C20" s="44">
        <f>COUNTIF('2. Test Cases'!$E$3:$E$56,"Submission / Workflow")</f>
        <v/>
      </c>
      <c r="D20" s="45">
        <f>COUNTIFS('2. Test Cases'!$E$3:$E$56,"Submission / Workflow",'2. Test Cases'!$O$3:$O$56,"Pass")</f>
        <v/>
      </c>
      <c r="E20" s="46">
        <f>COUNTIFS('2. Test Cases'!$E$3:$E$56,"Submission / Workflow",'2. Test Cases'!$O$3:$O$56,"Fail")</f>
        <v/>
      </c>
      <c r="G20" s="43" t="inlineStr">
        <is>
          <t>W5</t>
        </is>
      </c>
      <c r="H20" s="43" t="inlineStr">
        <is>
          <t>ส่งขออนุมัติ</t>
        </is>
      </c>
      <c r="I20" s="44">
        <f>COUNTIF('2. Test Cases'!$A$3:$A$56,"W5")</f>
        <v/>
      </c>
      <c r="J20" s="45">
        <f>COUNTIFS('2. Test Cases'!$A$3:$A$56,"W5",'2. Test Cases'!$O$3:$O$56,"Pass")</f>
        <v/>
      </c>
      <c r="K20" s="46">
        <f>COUNTIFS('2. Test Cases'!$A$3:$A$56,"W5",'2. Test Cases'!$O$3:$O$56,"Fail")</f>
        <v/>
      </c>
      <c r="M20" s="39" t="inlineStr">
        <is>
          <t>รวม / Total</t>
        </is>
      </c>
      <c r="N20" s="47">
        <f>SUM(N16:N19)</f>
        <v/>
      </c>
      <c r="O20" s="47">
        <f>SUM(O16:O19)</f>
        <v/>
      </c>
      <c r="P20" s="47">
        <f>SUM(P16:P19)</f>
        <v/>
      </c>
    </row>
    <row r="21" ht="15" customHeight="1">
      <c r="B21" s="43" t="inlineStr">
        <is>
          <t>Approval</t>
        </is>
      </c>
      <c r="C21" s="44">
        <f>COUNTIF('2. Test Cases'!$E$3:$E$56,"Approval")</f>
        <v/>
      </c>
      <c r="D21" s="45">
        <f>COUNTIFS('2. Test Cases'!$E$3:$E$56,"Approval",'2. Test Cases'!$O$3:$O$56,"Pass")</f>
        <v/>
      </c>
      <c r="E21" s="46">
        <f>COUNTIFS('2. Test Cases'!$E$3:$E$56,"Approval",'2. Test Cases'!$O$3:$O$56,"Fail")</f>
        <v/>
      </c>
      <c r="G21" s="43" t="inlineStr">
        <is>
          <t>W6</t>
        </is>
      </c>
      <c r="H21" s="43" t="inlineStr">
        <is>
          <t>อนุมัติ 3 ขั้น</t>
        </is>
      </c>
      <c r="I21" s="44">
        <f>COUNTIF('2. Test Cases'!$A$3:$A$56,"W6")</f>
        <v/>
      </c>
      <c r="J21" s="45">
        <f>COUNTIFS('2. Test Cases'!$A$3:$A$56,"W6",'2. Test Cases'!$O$3:$O$56,"Pass")</f>
        <v/>
      </c>
      <c r="K21" s="46">
        <f>COUNTIFS('2. Test Cases'!$A$3:$A$56,"W6",'2. Test Cases'!$O$3:$O$56,"Fail")</f>
        <v/>
      </c>
    </row>
    <row r="22" ht="15" customHeight="1">
      <c r="B22" s="43" t="inlineStr">
        <is>
          <t>Email Alert / Notification</t>
        </is>
      </c>
      <c r="C22" s="44">
        <f>COUNTIF('2. Test Cases'!$E$3:$E$56,"Email Alert / Notification")</f>
        <v/>
      </c>
      <c r="D22" s="45">
        <f>COUNTIFS('2. Test Cases'!$E$3:$E$56,"Email Alert / Notification",'2. Test Cases'!$O$3:$O$56,"Pass")</f>
        <v/>
      </c>
      <c r="E22" s="46">
        <f>COUNTIFS('2. Test Cases'!$E$3:$E$56,"Email Alert / Notification",'2. Test Cases'!$O$3:$O$56,"Fail")</f>
        <v/>
      </c>
      <c r="G22" s="43" t="inlineStr">
        <is>
          <t>W7</t>
        </is>
      </c>
      <c r="H22" s="43" t="inlineStr">
        <is>
          <t>อีเมลแจ้งเตือน</t>
        </is>
      </c>
      <c r="I22" s="44">
        <f>COUNTIF('2. Test Cases'!$A$3:$A$56,"W7")</f>
        <v/>
      </c>
      <c r="J22" s="45">
        <f>COUNTIFS('2. Test Cases'!$A$3:$A$56,"W7",'2. Test Cases'!$O$3:$O$56,"Pass")</f>
        <v/>
      </c>
      <c r="K22" s="46">
        <f>COUNTIFS('2. Test Cases'!$A$3:$A$56,"W7",'2. Test Cases'!$O$3:$O$56,"Fail")</f>
        <v/>
      </c>
    </row>
    <row r="23" ht="15" customHeight="1">
      <c r="B23" s="43" t="inlineStr">
        <is>
          <t>Business Rules &amp; UI</t>
        </is>
      </c>
      <c r="C23" s="44">
        <f>COUNTIF('2. Test Cases'!$E$3:$E$56,"Business Rules &amp; UI")</f>
        <v/>
      </c>
      <c r="D23" s="45">
        <f>COUNTIFS('2. Test Cases'!$E$3:$E$56,"Business Rules &amp; UI",'2. Test Cases'!$O$3:$O$56,"Pass")</f>
        <v/>
      </c>
      <c r="E23" s="46">
        <f>COUNTIFS('2. Test Cases'!$E$3:$E$56,"Business Rules &amp; UI",'2. Test Cases'!$O$3:$O$56,"Fail")</f>
        <v/>
      </c>
      <c r="G23" s="43" t="inlineStr">
        <is>
          <t>W8</t>
        </is>
      </c>
      <c r="H23" s="43" t="inlineStr">
        <is>
          <t>หน้าตาและกติกาที่ต้องยอมรับ</t>
        </is>
      </c>
      <c r="I23" s="44">
        <f>COUNTIF('2. Test Cases'!$A$3:$A$56,"W8")</f>
        <v/>
      </c>
      <c r="J23" s="45">
        <f>COUNTIFS('2. Test Cases'!$A$3:$A$56,"W8",'2. Test Cases'!$O$3:$O$56,"Pass")</f>
        <v/>
      </c>
      <c r="K23" s="46">
        <f>COUNTIFS('2. Test Cases'!$A$3:$A$56,"W8",'2. Test Cases'!$O$3:$O$56,"Fail")</f>
        <v/>
      </c>
    </row>
    <row r="24" ht="15.75" customHeight="1">
      <c r="B24" s="39" t="inlineStr">
        <is>
          <t>รวม / Total</t>
        </is>
      </c>
      <c r="C24" s="47">
        <f>SUM(C16:C23)</f>
        <v/>
      </c>
      <c r="D24" s="47">
        <f>SUM(D16:D23)</f>
        <v/>
      </c>
      <c r="E24" s="47">
        <f>SUM(E16:E23)</f>
        <v/>
      </c>
      <c r="G24" s="39" t="inlineStr">
        <is>
          <t>รวม / Total</t>
        </is>
      </c>
      <c r="H24" s="39" t="n"/>
      <c r="I24" s="47">
        <f>SUM(I16:I23)</f>
        <v/>
      </c>
      <c r="J24" s="47">
        <f>SUM(J16:J23)</f>
        <v/>
      </c>
      <c r="K24" s="47">
        <f>SUM(K16:K23)</f>
        <v/>
      </c>
    </row>
    <row r="26" ht="45" customHeight="1">
      <c r="B26" s="66" t="inlineStr">
        <is>
          <t>หมายเหตุ: ตัวเลขอัปเดตอัตโนมัติเมื่อกรอกคอลัมน์ Status ในแท็บ “2. Test Cases” · ช่วงข้อมูลจริง = แถวที่ 3 ถึง 56 · ไฟล์นี้ไม่มีแถวตัวอย่าง (ไม่มี TC-EX) · ช่อง Total ของทั้ง 3 ตารางต้องเท่ากับ Total test cases ด้านบน · แถว Not Run คำนวณจาก “Total ลบด้วย Pass + Fail + Blocked + N/A” จึงนับช่อง Status ที่ยังว่างให้เป็น Not Run โดยอัตโนมัติ (ไม่ต้องพิมพ์คำว่า Not Run เอง) และทำให้ห้าแถวบนรวมกันได้เท่ากับ Total เสมอ</t>
        </is>
      </c>
      <c r="C26" s="50" t="n"/>
      <c r="D26" s="50" t="n"/>
      <c r="E26" s="50" t="n"/>
      <c r="F26" s="50" t="n"/>
      <c r="G26" s="50" t="n"/>
      <c r="H26" s="50" t="n"/>
      <c r="I26" s="50" t="n"/>
      <c r="J26" s="50" t="n"/>
      <c r="K26" s="50" t="n"/>
      <c r="L26" s="50" t="n"/>
      <c r="M26" s="50" t="n"/>
      <c r="N26" s="50" t="n"/>
      <c r="O26" s="50" t="n"/>
      <c r="P26" s="50" t="n"/>
    </row>
  </sheetData>
  <mergeCells count="14">
    <mergeCell ref="C11:E11"/>
    <mergeCell ref="B2:P2"/>
    <mergeCell ref="C5:E5"/>
    <mergeCell ref="B26:P26"/>
    <mergeCell ref="B14:E14"/>
    <mergeCell ref="B3:P3"/>
    <mergeCell ref="C8:E8"/>
    <mergeCell ref="C9:E9"/>
    <mergeCell ref="G14:K14"/>
    <mergeCell ref="C7:E7"/>
    <mergeCell ref="M14:P14"/>
    <mergeCell ref="C12:E12"/>
    <mergeCell ref="C6:E6"/>
    <mergeCell ref="C10:E1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4"/>
  <sheetViews>
    <sheetView showGridLines="0"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3" customWidth="1" min="2" max="2"/>
    <col width="18" customWidth="1" min="3" max="3"/>
    <col width="45" customWidth="1" min="4" max="4"/>
    <col width="11" customWidth="1" min="5" max="5"/>
    <col width="15" customWidth="1" min="6" max="6"/>
    <col width="14" customWidth="1" min="7" max="7"/>
    <col width="15" customWidth="1" min="8" max="8"/>
    <col width="13" customWidth="1" min="9" max="9"/>
    <col width="16" customWidth="1" min="10" max="10"/>
    <col width="13" customWidth="1" min="11" max="11"/>
    <col width="13" customWidth="1" min="12" max="12"/>
    <col width="40" customWidth="1" min="13" max="13"/>
  </cols>
  <sheetData>
    <row r="1" ht="24" customHeight="1">
      <c r="A1" s="62" t="inlineStr">
        <is>
          <t>Budget Web App — UAT Defect Log  ·  เปิดแถวใหม่ทุกครั้งที่มีเคส Status = Fail แล้วนำเลข Defect ID ไปใส่ในคอลัมน์ Defect ID ของแท็บ “2. Test Cases”</t>
        </is>
      </c>
      <c r="B1" s="50" t="n"/>
      <c r="C1" s="50" t="n"/>
      <c r="D1" s="50" t="n"/>
      <c r="E1" s="50" t="n"/>
      <c r="F1" s="50" t="n"/>
      <c r="G1" s="50" t="n"/>
      <c r="H1" s="50" t="n"/>
      <c r="I1" s="50" t="n"/>
      <c r="J1" s="50" t="n"/>
      <c r="K1" s="50" t="n"/>
      <c r="L1" s="50" t="n"/>
      <c r="M1" s="50" t="n"/>
    </row>
    <row r="2" ht="28" customHeight="1">
      <c r="A2" s="17" t="inlineStr">
        <is>
          <t>Defect ID</t>
        </is>
      </c>
      <c r="B2" s="17" t="inlineStr">
        <is>
          <t>UAT Case ID</t>
        </is>
      </c>
      <c r="C2" s="17" t="inlineStr">
        <is>
          <t>Department</t>
        </is>
      </c>
      <c r="D2" s="17" t="inlineStr">
        <is>
          <t>Title</t>
        </is>
      </c>
      <c r="E2" s="17" t="inlineStr">
        <is>
          <t>Severity</t>
        </is>
      </c>
      <c r="F2" s="17" t="inlineStr">
        <is>
          <t>Reported by</t>
        </is>
      </c>
      <c r="G2" s="17" t="inlineStr">
        <is>
          <t>Reported date</t>
        </is>
      </c>
      <c r="H2" s="17" t="inlineStr">
        <is>
          <t>Owner</t>
        </is>
      </c>
      <c r="I2" s="17" t="inlineStr">
        <is>
          <t>Status</t>
        </is>
      </c>
      <c r="J2" s="17" t="inlineStr">
        <is>
          <t>Fixed in</t>
        </is>
      </c>
      <c r="K2" s="17" t="inlineStr">
        <is>
          <t>Retest date</t>
        </is>
      </c>
      <c r="L2" s="17" t="inlineStr">
        <is>
          <t>Retest result</t>
        </is>
      </c>
      <c r="M2" s="17" t="inlineStr">
        <is>
          <t>Notes</t>
        </is>
      </c>
    </row>
    <row r="3" ht="16.5" customHeight="1">
      <c r="A3" s="22" t="inlineStr">
        <is>
          <t>D-001</t>
        </is>
      </c>
      <c r="B3" s="22" t="n"/>
      <c r="C3" s="21" t="n"/>
      <c r="D3" s="21" t="n"/>
      <c r="E3" s="22" t="n"/>
      <c r="F3" s="21" t="n"/>
      <c r="G3" s="24" t="n"/>
      <c r="H3" s="21" t="n"/>
      <c r="I3" s="22" t="n"/>
      <c r="J3" s="21" t="n"/>
      <c r="K3" s="24" t="n"/>
      <c r="L3" s="22" t="n"/>
      <c r="M3" s="21" t="n"/>
    </row>
    <row r="4" ht="16.5" customHeight="1">
      <c r="A4" s="22" t="inlineStr">
        <is>
          <t>D-002</t>
        </is>
      </c>
      <c r="B4" s="22" t="n"/>
      <c r="C4" s="21" t="n"/>
      <c r="D4" s="21" t="n"/>
      <c r="E4" s="22" t="n"/>
      <c r="F4" s="21" t="n"/>
      <c r="G4" s="24" t="n"/>
      <c r="H4" s="21" t="n"/>
      <c r="I4" s="22" t="n"/>
      <c r="J4" s="21" t="n"/>
      <c r="K4" s="24" t="n"/>
      <c r="L4" s="22" t="n"/>
      <c r="M4" s="21" t="n"/>
    </row>
    <row r="5" ht="16.5" customHeight="1">
      <c r="A5" s="22" t="inlineStr">
        <is>
          <t>D-003</t>
        </is>
      </c>
      <c r="B5" s="22" t="n"/>
      <c r="C5" s="21" t="n"/>
      <c r="D5" s="21" t="n"/>
      <c r="E5" s="22" t="n"/>
      <c r="F5" s="21" t="n"/>
      <c r="G5" s="24" t="n"/>
      <c r="H5" s="21" t="n"/>
      <c r="I5" s="22" t="n"/>
      <c r="J5" s="21" t="n"/>
      <c r="K5" s="24" t="n"/>
      <c r="L5" s="22" t="n"/>
      <c r="M5" s="21" t="n"/>
    </row>
    <row r="6" ht="16.5" customHeight="1">
      <c r="A6" s="22" t="inlineStr">
        <is>
          <t>D-004</t>
        </is>
      </c>
      <c r="B6" s="22" t="n"/>
      <c r="C6" s="21" t="n"/>
      <c r="D6" s="21" t="n"/>
      <c r="E6" s="22" t="n"/>
      <c r="F6" s="21" t="n"/>
      <c r="G6" s="24" t="n"/>
      <c r="H6" s="21" t="n"/>
      <c r="I6" s="22" t="n"/>
      <c r="J6" s="21" t="n"/>
      <c r="K6" s="24" t="n"/>
      <c r="L6" s="22" t="n"/>
      <c r="M6" s="21" t="n"/>
    </row>
    <row r="7" ht="16.5" customHeight="1">
      <c r="A7" s="22" t="inlineStr">
        <is>
          <t>D-005</t>
        </is>
      </c>
      <c r="B7" s="22" t="n"/>
      <c r="C7" s="21" t="n"/>
      <c r="D7" s="21" t="n"/>
      <c r="E7" s="22" t="n"/>
      <c r="F7" s="21" t="n"/>
      <c r="G7" s="24" t="n"/>
      <c r="H7" s="21" t="n"/>
      <c r="I7" s="22" t="n"/>
      <c r="J7" s="21" t="n"/>
      <c r="K7" s="24" t="n"/>
      <c r="L7" s="22" t="n"/>
      <c r="M7" s="21" t="n"/>
    </row>
    <row r="8" ht="16.5" customHeight="1">
      <c r="A8" s="22" t="inlineStr">
        <is>
          <t>D-006</t>
        </is>
      </c>
      <c r="B8" s="22" t="n"/>
      <c r="C8" s="21" t="n"/>
      <c r="D8" s="21" t="n"/>
      <c r="E8" s="22" t="n"/>
      <c r="F8" s="21" t="n"/>
      <c r="G8" s="24" t="n"/>
      <c r="H8" s="21" t="n"/>
      <c r="I8" s="22" t="n"/>
      <c r="J8" s="21" t="n"/>
      <c r="K8" s="24" t="n"/>
      <c r="L8" s="22" t="n"/>
      <c r="M8" s="21" t="n"/>
    </row>
    <row r="9" ht="16.5" customHeight="1">
      <c r="A9" s="22" t="inlineStr">
        <is>
          <t>D-007</t>
        </is>
      </c>
      <c r="B9" s="22" t="n"/>
      <c r="C9" s="21" t="n"/>
      <c r="D9" s="21" t="n"/>
      <c r="E9" s="22" t="n"/>
      <c r="F9" s="21" t="n"/>
      <c r="G9" s="24" t="n"/>
      <c r="H9" s="21" t="n"/>
      <c r="I9" s="22" t="n"/>
      <c r="J9" s="21" t="n"/>
      <c r="K9" s="24" t="n"/>
      <c r="L9" s="22" t="n"/>
      <c r="M9" s="21" t="n"/>
    </row>
    <row r="10" ht="16.5" customHeight="1">
      <c r="A10" s="22" t="inlineStr">
        <is>
          <t>D-008</t>
        </is>
      </c>
      <c r="B10" s="22" t="n"/>
      <c r="C10" s="21" t="n"/>
      <c r="D10" s="21" t="n"/>
      <c r="E10" s="22" t="n"/>
      <c r="F10" s="21" t="n"/>
      <c r="G10" s="24" t="n"/>
      <c r="H10" s="21" t="n"/>
      <c r="I10" s="22" t="n"/>
      <c r="J10" s="21" t="n"/>
      <c r="K10" s="24" t="n"/>
      <c r="L10" s="22" t="n"/>
      <c r="M10" s="21" t="n"/>
    </row>
    <row r="11" ht="16.5" customHeight="1">
      <c r="A11" s="22" t="inlineStr">
        <is>
          <t>D-009</t>
        </is>
      </c>
      <c r="B11" s="22" t="n"/>
      <c r="C11" s="21" t="n"/>
      <c r="D11" s="21" t="n"/>
      <c r="E11" s="22" t="n"/>
      <c r="F11" s="21" t="n"/>
      <c r="G11" s="24" t="n"/>
      <c r="H11" s="21" t="n"/>
      <c r="I11" s="22" t="n"/>
      <c r="J11" s="21" t="n"/>
      <c r="K11" s="24" t="n"/>
      <c r="L11" s="22" t="n"/>
      <c r="M11" s="21" t="n"/>
    </row>
    <row r="12" ht="16.5" customHeight="1">
      <c r="A12" s="22" t="inlineStr">
        <is>
          <t>D-010</t>
        </is>
      </c>
      <c r="B12" s="22" t="n"/>
      <c r="C12" s="21" t="n"/>
      <c r="D12" s="21" t="n"/>
      <c r="E12" s="22" t="n"/>
      <c r="F12" s="21" t="n"/>
      <c r="G12" s="24" t="n"/>
      <c r="H12" s="21" t="n"/>
      <c r="I12" s="22" t="n"/>
      <c r="J12" s="21" t="n"/>
      <c r="K12" s="24" t="n"/>
      <c r="L12" s="22" t="n"/>
      <c r="M12" s="21" t="n"/>
    </row>
    <row r="13" ht="16.5" customHeight="1">
      <c r="A13" s="22" t="inlineStr">
        <is>
          <t>D-011</t>
        </is>
      </c>
      <c r="B13" s="22" t="n"/>
      <c r="C13" s="21" t="n"/>
      <c r="D13" s="21" t="n"/>
      <c r="E13" s="22" t="n"/>
      <c r="F13" s="21" t="n"/>
      <c r="G13" s="24" t="n"/>
      <c r="H13" s="21" t="n"/>
      <c r="I13" s="22" t="n"/>
      <c r="J13" s="21" t="n"/>
      <c r="K13" s="24" t="n"/>
      <c r="L13" s="22" t="n"/>
      <c r="M13" s="21" t="n"/>
    </row>
    <row r="14" ht="16.5" customHeight="1">
      <c r="A14" s="22" t="inlineStr">
        <is>
          <t>D-012</t>
        </is>
      </c>
      <c r="B14" s="22" t="n"/>
      <c r="C14" s="21" t="n"/>
      <c r="D14" s="21" t="n"/>
      <c r="E14" s="22" t="n"/>
      <c r="F14" s="21" t="n"/>
      <c r="G14" s="24" t="n"/>
      <c r="H14" s="21" t="n"/>
      <c r="I14" s="22" t="n"/>
      <c r="J14" s="21" t="n"/>
      <c r="K14" s="24" t="n"/>
      <c r="L14" s="22" t="n"/>
      <c r="M14" s="21" t="n"/>
    </row>
    <row r="15" ht="16.5" customHeight="1">
      <c r="A15" s="22" t="inlineStr">
        <is>
          <t>D-013</t>
        </is>
      </c>
      <c r="B15" s="22" t="n"/>
      <c r="C15" s="21" t="n"/>
      <c r="D15" s="21" t="n"/>
      <c r="E15" s="22" t="n"/>
      <c r="F15" s="21" t="n"/>
      <c r="G15" s="24" t="n"/>
      <c r="H15" s="21" t="n"/>
      <c r="I15" s="22" t="n"/>
      <c r="J15" s="21" t="n"/>
      <c r="K15" s="24" t="n"/>
      <c r="L15" s="22" t="n"/>
      <c r="M15" s="21" t="n"/>
    </row>
    <row r="16" ht="16.5" customHeight="1">
      <c r="A16" s="22" t="inlineStr">
        <is>
          <t>D-014</t>
        </is>
      </c>
      <c r="B16" s="22" t="n"/>
      <c r="C16" s="21" t="n"/>
      <c r="D16" s="21" t="n"/>
      <c r="E16" s="22" t="n"/>
      <c r="F16" s="21" t="n"/>
      <c r="G16" s="24" t="n"/>
      <c r="H16" s="21" t="n"/>
      <c r="I16" s="22" t="n"/>
      <c r="J16" s="21" t="n"/>
      <c r="K16" s="24" t="n"/>
      <c r="L16" s="22" t="n"/>
      <c r="M16" s="21" t="n"/>
    </row>
    <row r="17" ht="16.5" customHeight="1">
      <c r="A17" s="22" t="inlineStr">
        <is>
          <t>D-015</t>
        </is>
      </c>
      <c r="B17" s="22" t="n"/>
      <c r="C17" s="21" t="n"/>
      <c r="D17" s="21" t="n"/>
      <c r="E17" s="22" t="n"/>
      <c r="F17" s="21" t="n"/>
      <c r="G17" s="24" t="n"/>
      <c r="H17" s="21" t="n"/>
      <c r="I17" s="22" t="n"/>
      <c r="J17" s="21" t="n"/>
      <c r="K17" s="24" t="n"/>
      <c r="L17" s="22" t="n"/>
      <c r="M17" s="21" t="n"/>
    </row>
    <row r="18" ht="16.5" customHeight="1">
      <c r="A18" s="22" t="inlineStr">
        <is>
          <t>D-016</t>
        </is>
      </c>
      <c r="B18" s="22" t="n"/>
      <c r="C18" s="21" t="n"/>
      <c r="D18" s="21" t="n"/>
      <c r="E18" s="22" t="n"/>
      <c r="F18" s="21" t="n"/>
      <c r="G18" s="24" t="n"/>
      <c r="H18" s="21" t="n"/>
      <c r="I18" s="22" t="n"/>
      <c r="J18" s="21" t="n"/>
      <c r="K18" s="24" t="n"/>
      <c r="L18" s="22" t="n"/>
      <c r="M18" s="21" t="n"/>
    </row>
    <row r="19" ht="16.5" customHeight="1">
      <c r="A19" s="22" t="inlineStr">
        <is>
          <t>D-017</t>
        </is>
      </c>
      <c r="B19" s="22" t="n"/>
      <c r="C19" s="21" t="n"/>
      <c r="D19" s="21" t="n"/>
      <c r="E19" s="22" t="n"/>
      <c r="F19" s="21" t="n"/>
      <c r="G19" s="24" t="n"/>
      <c r="H19" s="21" t="n"/>
      <c r="I19" s="22" t="n"/>
      <c r="J19" s="21" t="n"/>
      <c r="K19" s="24" t="n"/>
      <c r="L19" s="22" t="n"/>
      <c r="M19" s="21" t="n"/>
    </row>
    <row r="20" ht="16.5" customHeight="1">
      <c r="A20" s="22" t="inlineStr">
        <is>
          <t>D-018</t>
        </is>
      </c>
      <c r="B20" s="22" t="n"/>
      <c r="C20" s="21" t="n"/>
      <c r="D20" s="21" t="n"/>
      <c r="E20" s="22" t="n"/>
      <c r="F20" s="21" t="n"/>
      <c r="G20" s="24" t="n"/>
      <c r="H20" s="21" t="n"/>
      <c r="I20" s="22" t="n"/>
      <c r="J20" s="21" t="n"/>
      <c r="K20" s="24" t="n"/>
      <c r="L20" s="22" t="n"/>
      <c r="M20" s="21" t="n"/>
    </row>
    <row r="21" ht="16.5" customHeight="1">
      <c r="A21" s="22" t="inlineStr">
        <is>
          <t>D-019</t>
        </is>
      </c>
      <c r="B21" s="22" t="n"/>
      <c r="C21" s="21" t="n"/>
      <c r="D21" s="21" t="n"/>
      <c r="E21" s="22" t="n"/>
      <c r="F21" s="21" t="n"/>
      <c r="G21" s="24" t="n"/>
      <c r="H21" s="21" t="n"/>
      <c r="I21" s="22" t="n"/>
      <c r="J21" s="21" t="n"/>
      <c r="K21" s="24" t="n"/>
      <c r="L21" s="22" t="n"/>
      <c r="M21" s="21" t="n"/>
    </row>
    <row r="22" ht="16.5" customHeight="1">
      <c r="A22" s="22" t="inlineStr">
        <is>
          <t>D-020</t>
        </is>
      </c>
      <c r="B22" s="22" t="n"/>
      <c r="C22" s="21" t="n"/>
      <c r="D22" s="21" t="n"/>
      <c r="E22" s="22" t="n"/>
      <c r="F22" s="21" t="n"/>
      <c r="G22" s="24" t="n"/>
      <c r="H22" s="21" t="n"/>
      <c r="I22" s="22" t="n"/>
      <c r="J22" s="21" t="n"/>
      <c r="K22" s="24" t="n"/>
      <c r="L22" s="22" t="n"/>
      <c r="M22" s="21" t="n"/>
    </row>
    <row r="23" ht="16.5" customHeight="1">
      <c r="A23" s="22" t="inlineStr">
        <is>
          <t>D-021</t>
        </is>
      </c>
      <c r="B23" s="22" t="n"/>
      <c r="C23" s="21" t="n"/>
      <c r="D23" s="21" t="n"/>
      <c r="E23" s="22" t="n"/>
      <c r="F23" s="21" t="n"/>
      <c r="G23" s="24" t="n"/>
      <c r="H23" s="21" t="n"/>
      <c r="I23" s="22" t="n"/>
      <c r="J23" s="21" t="n"/>
      <c r="K23" s="24" t="n"/>
      <c r="L23" s="22" t="n"/>
      <c r="M23" s="21" t="n"/>
    </row>
    <row r="24" ht="16.5" customHeight="1">
      <c r="A24" s="22" t="inlineStr">
        <is>
          <t>D-022</t>
        </is>
      </c>
      <c r="B24" s="22" t="n"/>
      <c r="C24" s="21" t="n"/>
      <c r="D24" s="21" t="n"/>
      <c r="E24" s="22" t="n"/>
      <c r="F24" s="21" t="n"/>
      <c r="G24" s="24" t="n"/>
      <c r="H24" s="21" t="n"/>
      <c r="I24" s="22" t="n"/>
      <c r="J24" s="21" t="n"/>
      <c r="K24" s="24" t="n"/>
      <c r="L24" s="22" t="n"/>
      <c r="M24" s="21" t="n"/>
    </row>
    <row r="25" ht="16.5" customHeight="1">
      <c r="A25" s="22" t="inlineStr">
        <is>
          <t>D-023</t>
        </is>
      </c>
      <c r="B25" s="22" t="n"/>
      <c r="C25" s="21" t="n"/>
      <c r="D25" s="21" t="n"/>
      <c r="E25" s="22" t="n"/>
      <c r="F25" s="21" t="n"/>
      <c r="G25" s="24" t="n"/>
      <c r="H25" s="21" t="n"/>
      <c r="I25" s="22" t="n"/>
      <c r="J25" s="21" t="n"/>
      <c r="K25" s="24" t="n"/>
      <c r="L25" s="22" t="n"/>
      <c r="M25" s="21" t="n"/>
    </row>
    <row r="26" ht="16.5" customHeight="1">
      <c r="A26" s="22" t="inlineStr">
        <is>
          <t>D-024</t>
        </is>
      </c>
      <c r="B26" s="22" t="n"/>
      <c r="C26" s="21" t="n"/>
      <c r="D26" s="21" t="n"/>
      <c r="E26" s="22" t="n"/>
      <c r="F26" s="21" t="n"/>
      <c r="G26" s="24" t="n"/>
      <c r="H26" s="21" t="n"/>
      <c r="I26" s="22" t="n"/>
      <c r="J26" s="21" t="n"/>
      <c r="K26" s="24" t="n"/>
      <c r="L26" s="22" t="n"/>
      <c r="M26" s="21" t="n"/>
    </row>
    <row r="27" ht="16.5" customHeight="1">
      <c r="A27" s="22" t="inlineStr">
        <is>
          <t>D-025</t>
        </is>
      </c>
      <c r="B27" s="22" t="n"/>
      <c r="C27" s="21" t="n"/>
      <c r="D27" s="21" t="n"/>
      <c r="E27" s="22" t="n"/>
      <c r="F27" s="21" t="n"/>
      <c r="G27" s="24" t="n"/>
      <c r="H27" s="21" t="n"/>
      <c r="I27" s="22" t="n"/>
      <c r="J27" s="21" t="n"/>
      <c r="K27" s="24" t="n"/>
      <c r="L27" s="22" t="n"/>
      <c r="M27" s="21" t="n"/>
    </row>
    <row r="28" ht="16.5" customHeight="1">
      <c r="A28" s="22" t="inlineStr">
        <is>
          <t>D-026</t>
        </is>
      </c>
      <c r="B28" s="22" t="n"/>
      <c r="C28" s="21" t="n"/>
      <c r="D28" s="21" t="n"/>
      <c r="E28" s="22" t="n"/>
      <c r="F28" s="21" t="n"/>
      <c r="G28" s="24" t="n"/>
      <c r="H28" s="21" t="n"/>
      <c r="I28" s="22" t="n"/>
      <c r="J28" s="21" t="n"/>
      <c r="K28" s="24" t="n"/>
      <c r="L28" s="22" t="n"/>
      <c r="M28" s="21" t="n"/>
    </row>
    <row r="29" ht="16.5" customHeight="1">
      <c r="A29" s="22" t="inlineStr">
        <is>
          <t>D-027</t>
        </is>
      </c>
      <c r="B29" s="22" t="n"/>
      <c r="C29" s="21" t="n"/>
      <c r="D29" s="21" t="n"/>
      <c r="E29" s="22" t="n"/>
      <c r="F29" s="21" t="n"/>
      <c r="G29" s="24" t="n"/>
      <c r="H29" s="21" t="n"/>
      <c r="I29" s="22" t="n"/>
      <c r="J29" s="21" t="n"/>
      <c r="K29" s="24" t="n"/>
      <c r="L29" s="22" t="n"/>
      <c r="M29" s="21" t="n"/>
    </row>
    <row r="30" ht="16.5" customHeight="1">
      <c r="A30" s="22" t="inlineStr">
        <is>
          <t>D-028</t>
        </is>
      </c>
      <c r="B30" s="22" t="n"/>
      <c r="C30" s="21" t="n"/>
      <c r="D30" s="21" t="n"/>
      <c r="E30" s="22" t="n"/>
      <c r="F30" s="21" t="n"/>
      <c r="G30" s="24" t="n"/>
      <c r="H30" s="21" t="n"/>
      <c r="I30" s="22" t="n"/>
      <c r="J30" s="21" t="n"/>
      <c r="K30" s="24" t="n"/>
      <c r="L30" s="22" t="n"/>
      <c r="M30" s="21" t="n"/>
    </row>
    <row r="31" ht="16.5" customHeight="1">
      <c r="A31" s="22" t="inlineStr">
        <is>
          <t>D-029</t>
        </is>
      </c>
      <c r="B31" s="22" t="n"/>
      <c r="C31" s="21" t="n"/>
      <c r="D31" s="21" t="n"/>
      <c r="E31" s="22" t="n"/>
      <c r="F31" s="21" t="n"/>
      <c r="G31" s="24" t="n"/>
      <c r="H31" s="21" t="n"/>
      <c r="I31" s="22" t="n"/>
      <c r="J31" s="21" t="n"/>
      <c r="K31" s="24" t="n"/>
      <c r="L31" s="22" t="n"/>
      <c r="M31" s="21" t="n"/>
    </row>
    <row r="32" ht="16.5" customHeight="1">
      <c r="A32" s="22" t="inlineStr">
        <is>
          <t>D-030</t>
        </is>
      </c>
      <c r="B32" s="22" t="n"/>
      <c r="C32" s="21" t="n"/>
      <c r="D32" s="21" t="n"/>
      <c r="E32" s="22" t="n"/>
      <c r="F32" s="21" t="n"/>
      <c r="G32" s="24" t="n"/>
      <c r="H32" s="21" t="n"/>
      <c r="I32" s="22" t="n"/>
      <c r="J32" s="21" t="n"/>
      <c r="K32" s="24" t="n"/>
      <c r="L32" s="22" t="n"/>
      <c r="M32" s="21" t="n"/>
    </row>
    <row r="33" ht="16.5" customHeight="1">
      <c r="A33" s="22" t="inlineStr">
        <is>
          <t>D-031</t>
        </is>
      </c>
      <c r="B33" s="22" t="n"/>
      <c r="C33" s="21" t="n"/>
      <c r="D33" s="21" t="n"/>
      <c r="E33" s="22" t="n"/>
      <c r="F33" s="21" t="n"/>
      <c r="G33" s="24" t="n"/>
      <c r="H33" s="21" t="n"/>
      <c r="I33" s="22" t="n"/>
      <c r="J33" s="21" t="n"/>
      <c r="K33" s="24" t="n"/>
      <c r="L33" s="22" t="n"/>
      <c r="M33" s="21" t="n"/>
    </row>
    <row r="34" ht="16.5" customHeight="1">
      <c r="A34" s="22" t="inlineStr">
        <is>
          <t>D-032</t>
        </is>
      </c>
      <c r="B34" s="22" t="n"/>
      <c r="C34" s="21" t="n"/>
      <c r="D34" s="21" t="n"/>
      <c r="E34" s="22" t="n"/>
      <c r="F34" s="21" t="n"/>
      <c r="G34" s="24" t="n"/>
      <c r="H34" s="21" t="n"/>
      <c r="I34" s="22" t="n"/>
      <c r="J34" s="21" t="n"/>
      <c r="K34" s="24" t="n"/>
      <c r="L34" s="22" t="n"/>
      <c r="M34" s="21" t="n"/>
    </row>
    <row r="35" ht="16.5" customHeight="1">
      <c r="A35" s="22" t="inlineStr">
        <is>
          <t>D-033</t>
        </is>
      </c>
      <c r="B35" s="22" t="n"/>
      <c r="C35" s="21" t="n"/>
      <c r="D35" s="21" t="n"/>
      <c r="E35" s="22" t="n"/>
      <c r="F35" s="21" t="n"/>
      <c r="G35" s="24" t="n"/>
      <c r="H35" s="21" t="n"/>
      <c r="I35" s="22" t="n"/>
      <c r="J35" s="21" t="n"/>
      <c r="K35" s="24" t="n"/>
      <c r="L35" s="22" t="n"/>
      <c r="M35" s="21" t="n"/>
    </row>
    <row r="36" ht="16.5" customHeight="1">
      <c r="A36" s="22" t="inlineStr">
        <is>
          <t>D-034</t>
        </is>
      </c>
      <c r="B36" s="22" t="n"/>
      <c r="C36" s="21" t="n"/>
      <c r="D36" s="21" t="n"/>
      <c r="E36" s="22" t="n"/>
      <c r="F36" s="21" t="n"/>
      <c r="G36" s="24" t="n"/>
      <c r="H36" s="21" t="n"/>
      <c r="I36" s="22" t="n"/>
      <c r="J36" s="21" t="n"/>
      <c r="K36" s="24" t="n"/>
      <c r="L36" s="22" t="n"/>
      <c r="M36" s="21" t="n"/>
    </row>
    <row r="37" ht="16.5" customHeight="1">
      <c r="A37" s="22" t="inlineStr">
        <is>
          <t>D-035</t>
        </is>
      </c>
      <c r="B37" s="22" t="n"/>
      <c r="C37" s="21" t="n"/>
      <c r="D37" s="21" t="n"/>
      <c r="E37" s="22" t="n"/>
      <c r="F37" s="21" t="n"/>
      <c r="G37" s="24" t="n"/>
      <c r="H37" s="21" t="n"/>
      <c r="I37" s="22" t="n"/>
      <c r="J37" s="21" t="n"/>
      <c r="K37" s="24" t="n"/>
      <c r="L37" s="22" t="n"/>
      <c r="M37" s="21" t="n"/>
    </row>
    <row r="38" ht="16.5" customHeight="1">
      <c r="A38" s="22" t="inlineStr">
        <is>
          <t>D-036</t>
        </is>
      </c>
      <c r="B38" s="22" t="n"/>
      <c r="C38" s="21" t="n"/>
      <c r="D38" s="21" t="n"/>
      <c r="E38" s="22" t="n"/>
      <c r="F38" s="21" t="n"/>
      <c r="G38" s="24" t="n"/>
      <c r="H38" s="21" t="n"/>
      <c r="I38" s="22" t="n"/>
      <c r="J38" s="21" t="n"/>
      <c r="K38" s="24" t="n"/>
      <c r="L38" s="22" t="n"/>
      <c r="M38" s="21" t="n"/>
    </row>
    <row r="39" ht="16.5" customHeight="1">
      <c r="A39" s="22" t="inlineStr">
        <is>
          <t>D-037</t>
        </is>
      </c>
      <c r="B39" s="22" t="n"/>
      <c r="C39" s="21" t="n"/>
      <c r="D39" s="21" t="n"/>
      <c r="E39" s="22" t="n"/>
      <c r="F39" s="21" t="n"/>
      <c r="G39" s="24" t="n"/>
      <c r="H39" s="21" t="n"/>
      <c r="I39" s="22" t="n"/>
      <c r="J39" s="21" t="n"/>
      <c r="K39" s="24" t="n"/>
      <c r="L39" s="22" t="n"/>
      <c r="M39" s="21" t="n"/>
    </row>
    <row r="40" ht="16.5" customHeight="1">
      <c r="A40" s="22" t="inlineStr">
        <is>
          <t>D-038</t>
        </is>
      </c>
      <c r="B40" s="22" t="n"/>
      <c r="C40" s="21" t="n"/>
      <c r="D40" s="21" t="n"/>
      <c r="E40" s="22" t="n"/>
      <c r="F40" s="21" t="n"/>
      <c r="G40" s="24" t="n"/>
      <c r="H40" s="21" t="n"/>
      <c r="I40" s="22" t="n"/>
      <c r="J40" s="21" t="n"/>
      <c r="K40" s="24" t="n"/>
      <c r="L40" s="22" t="n"/>
      <c r="M40" s="21" t="n"/>
    </row>
    <row r="41" ht="16.5" customHeight="1">
      <c r="A41" s="22" t="inlineStr">
        <is>
          <t>D-039</t>
        </is>
      </c>
      <c r="B41" s="22" t="n"/>
      <c r="C41" s="21" t="n"/>
      <c r="D41" s="21" t="n"/>
      <c r="E41" s="22" t="n"/>
      <c r="F41" s="21" t="n"/>
      <c r="G41" s="24" t="n"/>
      <c r="H41" s="21" t="n"/>
      <c r="I41" s="22" t="n"/>
      <c r="J41" s="21" t="n"/>
      <c r="K41" s="24" t="n"/>
      <c r="L41" s="22" t="n"/>
      <c r="M41" s="21" t="n"/>
    </row>
    <row r="42" ht="16.5" customHeight="1">
      <c r="A42" s="22" t="inlineStr">
        <is>
          <t>D-040</t>
        </is>
      </c>
      <c r="B42" s="22" t="n"/>
      <c r="C42" s="21" t="n"/>
      <c r="D42" s="21" t="n"/>
      <c r="E42" s="22" t="n"/>
      <c r="F42" s="21" t="n"/>
      <c r="G42" s="24" t="n"/>
      <c r="H42" s="21" t="n"/>
      <c r="I42" s="22" t="n"/>
      <c r="J42" s="21" t="n"/>
      <c r="K42" s="24" t="n"/>
      <c r="L42" s="22" t="n"/>
      <c r="M42" s="21" t="n"/>
    </row>
    <row r="44" ht="34" customHeight="1">
      <c r="A44" s="67" t="inlineStr">
        <is>
          <t>Severity ของ defect ใช้ **ชุดค่าเดียวกับคอลัมน์ Severity ในแท็บ “2. Test Cases”** ยกมาใส่ได้ตรง ๆ ไม่ต้องแปลงค่า: Critical = ระบบใช้งานไม่ได้ / ข้อมูลเงินผิดพลาดร้ายแรง · High = ฟังก์ชันหลักเสีย · Medium = เสียแต่มีทางเลี่ยง · Low = ปัญหาเล็กน้อยหรือ UI (ไม่มีค่า `-` ในแท็บนี้ เพราะแถว defect เกิดขึ้นเฉพาะตอนมีเคส Fail)  ·  Status: Open → In Progress → Fixed → Retested → Closed (หรือ Wont Fix ถ้าตัดสินว่าไม่แก้)</t>
        </is>
      </c>
      <c r="B44" s="50" t="n"/>
      <c r="C44" s="50" t="n"/>
      <c r="D44" s="50" t="n"/>
      <c r="E44" s="50" t="n"/>
      <c r="F44" s="50" t="n"/>
      <c r="G44" s="50" t="n"/>
      <c r="H44" s="50" t="n"/>
      <c r="I44" s="50" t="n"/>
      <c r="J44" s="50" t="n"/>
      <c r="K44" s="50" t="n"/>
      <c r="L44" s="50" t="n"/>
      <c r="M44" s="50" t="n"/>
    </row>
  </sheetData>
  <autoFilter ref="A2:M42"/>
  <mergeCells count="2">
    <mergeCell ref="A44:M44"/>
    <mergeCell ref="A1:M1"/>
  </mergeCells>
  <dataValidations count="3">
    <dataValidation sqref="E3:E42" showDropDown="0" showInputMessage="0" showErrorMessage="0" allowBlank="1" type="list">
      <formula1>"Critical,High,Medium,Low"</formula1>
    </dataValidation>
    <dataValidation sqref="I3:I42" showDropDown="0" showInputMessage="0" showErrorMessage="0" allowBlank="1" type="list">
      <formula1>"Open,In Progress,Fixed,Retested,Closed,Wont Fix"</formula1>
    </dataValidation>
    <dataValidation sqref="L3:L42" showDropDown="0" showInputMessage="0" showErrorMessage="0" allowBlank="1" type="list">
      <formula1>"Pass,Fail"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6"/>
  <sheetViews>
    <sheetView workbookViewId="0">
      <selection activeCell="A1" sqref="A1"/>
    </sheetView>
  </sheetViews>
  <sheetFormatPr baseColWidth="8" defaultRowHeight="15"/>
  <cols>
    <col width="12" customWidth="1" min="1" max="1"/>
    <col width="14" customWidth="1" min="2" max="2"/>
    <col width="34" customWidth="1" min="3" max="3"/>
    <col width="34" customWidth="1" min="4" max="4"/>
    <col width="90" customWidth="1" min="5" max="5"/>
    <col width="60" customWidth="1" min="6" max="6"/>
  </cols>
  <sheetData>
    <row r="1">
      <c r="A1" s="53" t="inlineStr">
        <is>
          <t>AI pre-run บน production ผ่าน /sit/impersonate — 09/09/2026 00:54–03:26</t>
        </is>
      </c>
    </row>
    <row r="2">
      <c r="A2" t="inlineStr">
        <is>
          <t>AI สวมสิทธิ์เป็นผู้ทดสอบตามคอลัมน์ Tester แล้วรันตาม Run Order · ผลอยู่ในช่องสีเหลืองของแท็บ 2 · Status ใส่เฉพาะ Pass/Fail/Blocked ที่ AI มั่นใจ ช่องว่าง = ให้คนตัดสินหรือทำเอง · ภาพหลักฐาน: .scratch/uat-prep/runner/shots/</t>
        </is>
      </c>
    </row>
    <row r="4">
      <c r="A4" s="54" t="inlineStr">
        <is>
          <t>Run Order</t>
        </is>
      </c>
      <c r="B4" s="54" t="inlineStr">
        <is>
          <t>Test Case ID</t>
        </is>
      </c>
      <c r="C4" s="54" t="inlineStr">
        <is>
          <t>Tester (impersonated)</t>
        </is>
      </c>
      <c r="D4" s="54" t="inlineStr">
        <is>
          <t>AI Status</t>
        </is>
      </c>
      <c r="E4" s="54" t="inlineStr">
        <is>
          <t>Remarks</t>
        </is>
      </c>
      <c r="F4" s="54" t="inlineStr">
        <is>
          <t>Evidence</t>
        </is>
      </c>
    </row>
    <row r="5">
      <c r="A5" s="55" t="n">
        <v>1</v>
      </c>
      <c r="B5" s="55" t="inlineStr">
        <is>
          <t>UAT-01</t>
        </is>
      </c>
      <c r="C5" s="55" t="inlineStr">
        <is>
          <t>Pornthip (impersonated)</t>
        </is>
      </c>
      <c r="D5" s="55" t="inlineStr">
        <is>
          <t>Pass</t>
        </is>
      </c>
      <c r="E5" s="55" t="inlineStr">
        <is>
          <t>ตรงกับ Expected ข้อ 1-9 ทุกข้อ · ข้อ 8 (กดลิงก์ออกจากระบบเพื่อยืนยันว่ากดได้) ไม่ได้กดใน pre-UAT เพราะจะทำให้ session ของการรันหลุด — ให้คนกดในรอบจริง</t>
        </is>
      </c>
      <c r="F5" s="55" t="inlineStr">
        <is>
          <t>shots/UAT-01_userbar.png</t>
        </is>
      </c>
    </row>
    <row r="6">
      <c r="A6" s="55" t="n">
        <v>2</v>
      </c>
      <c r="B6" s="55" t="inlineStr">
        <is>
          <t>UAT-02</t>
        </is>
      </c>
      <c r="C6" s="55" t="inlineStr">
        <is>
          <t>Pornthip (impersonated)</t>
        </is>
      </c>
      <c r="D6" s="55" t="inlineStr">
        <is>
          <t>Pass</t>
        </is>
      </c>
      <c r="E6" s="55" t="inlineStr">
        <is>
          <t>ตรง Expected ข้อ 1-6 ทุกข้อ · ข้อสังเกต (ไม่ใช่ defect): ตารางของ Solution Delivery ไม่ได้ว่างเปล่าอย่างที่ note ของเคสคาด — แสดงแถว GL ของ 10IT012000 พร้อมยอด SAP ใช้จริง แต่ชั้น Pending เป็น 0 ทั้งหมด เพราะแถวมาจากชั้น SAP ไม่ใช่ข้อมูลที่กรอก ควรแก้ note ของเคสให้ตรง</t>
        </is>
      </c>
      <c r="F6" s="55" t="inlineStr">
        <is>
          <t>shots/UAT-02_picker_open.png, shots/UAT-02_solution_delivery_selected.png, shots/UAT-02_back_to_DA.png</t>
        </is>
      </c>
    </row>
    <row r="7">
      <c r="A7" s="55" t="n">
        <v>5</v>
      </c>
      <c r="B7" s="55" t="inlineStr">
        <is>
          <t>UAT-06</t>
        </is>
      </c>
      <c r="C7" s="55" t="inlineStr">
        <is>
          <t>Pornthip (impersonated)</t>
        </is>
      </c>
      <c r="D7" s="55" t="inlineStr">
        <is>
          <t>Pass</t>
        </is>
      </c>
      <c r="E7" s="55" t="inlineStr">
        <is>
          <t>ผ่านข้อ 2-5 · ข้อ 1 (ต้องเห็น 2 ฝั่ง): เห็นฝั่งเดียว — ยืนยันจากโค้ด GridTable.tsx:1156 ว่าฝั่งที่ไม่มีแถวถูกซ่อนโดยตั้งใจ จึงไม่ใช่ defect แต่ Expected ข้อ 1 ควรเขียนเพิ่มว่า 'ฝั่งที่ไม่มีแถวจะไม่แสดง' · 10IT011300 ไม่ปรากฏเพราะยังไม่มีแถวใด ๆ (ทั้ง Pending และ SAP) — ตรงเงื่อนไข 'มีเฉพาะ' แต่ควรให้คนยืนยันว่าถูกต้องตามสิทธิ์จริง</t>
        </is>
      </c>
      <c r="F7" s="55" t="inlineStr">
        <is>
          <t>shots/UAT-06-08_grid_DA.png</t>
        </is>
      </c>
    </row>
    <row r="8">
      <c r="A8" s="55" t="n">
        <v>6</v>
      </c>
      <c r="B8" s="55" t="inlineStr">
        <is>
          <t>UAT-07</t>
        </is>
      </c>
      <c r="C8" s="55" t="inlineStr">
        <is>
          <t>Pornthip (impersonated)</t>
        </is>
      </c>
      <c r="D8" s="55" t="inlineStr">
        <is>
          <t>Pass</t>
        </is>
      </c>
      <c r="E8" s="55" t="inlineStr">
        <is>
          <t>ข้อ 1-3 ผ่าน · ข้อ 4 ตรวจไม่ได้ในฝ่ายนี้เพราะไม่มีแถว Approved-only เลย บันทึกว่า 'ไม่พบ' ตาม Expected ข้อ 5 ไม่ถือเป็น Fail · ถ้าต้องการพิสูจน์ข้อ 4 จริง ต้องใช้ฝ่ายที่มีข้อมูล board_budget ปี 2026</t>
        </is>
      </c>
      <c r="F8" s="55" t="inlineStr">
        <is>
          <t>shots/UAT-06-08_grid_DA.png</t>
        </is>
      </c>
    </row>
    <row r="9">
      <c r="A9" s="55" t="n">
        <v>7</v>
      </c>
      <c r="B9" s="55" t="inlineStr">
        <is>
          <t>UAT-08</t>
        </is>
      </c>
      <c r="C9" s="55" t="inlineStr">
        <is>
          <t>Pornthip (impersonated)</t>
        </is>
      </c>
      <c r="D9" s="55" t="inlineStr">
        <is>
          <t>Pass</t>
        </is>
      </c>
      <c r="E9" s="55" t="inlineStr">
        <is>
          <t>ข้อ 1-3 ตรงตาม Expected ทุกตัวอักษร · ข้อ 4 เป็นความเห็นของคนว่าอ่านแล้วเข้าใจไหม — AI ไม่ตัดสินแทน ให้ผู้ทดสอบยืนยันแล้วเปลี่ยน Status เป็น Pass เอง · jakkaritw ตัดสิน 2026-09-09: อ่านเข้าใจ / ยอมรับได้ → Pass</t>
        </is>
      </c>
      <c r="F9" s="55" t="inlineStr">
        <is>
          <t>shots/UAT-06-08_grid_DA.png</t>
        </is>
      </c>
    </row>
    <row r="10">
      <c r="A10" s="55" t="n">
        <v>8</v>
      </c>
      <c r="B10" s="55" t="inlineStr">
        <is>
          <t>UAT-09</t>
        </is>
      </c>
      <c r="C10" s="55" t="inlineStr">
        <is>
          <t>Pornthip (impersonated)</t>
        </is>
      </c>
      <c r="D10" s="55" t="inlineStr">
        <is>
          <t>Pass</t>
        </is>
      </c>
      <c r="E10" s="55" t="inlineStr">
        <is>
          <t>ผ่านข้อ 1, 3, 4 · ข้อ 2 (ข้อความ 'กำลังบันทึก…' ขึ้นแล้วหายเอง) automation อ่านหน้าจอไม่ทันช่วงสั้น ๆ นั้น จึงยังไม่ได้ยืนยันด้วยตา — ให้ผู้ทดสอบสังเกตในรอบจริง · เบี่ยงเบนจาก step 1: เคสระบุให้ใช้ Cost Center 10IT011300 แต่ CC นั้นไม่มีแถวใดในตารางเลย (ยังไม่ได้เพิ่มรายการ) จึงใช้ 10IT013000 แทน — ควรแก้เคสให้เพิ่มแถวก่อน หรือระบุ 10IT013000</t>
        </is>
      </c>
      <c r="F10" s="55" t="inlineStr">
        <is>
          <t>shots/UAT-09_after_reload.png</t>
        </is>
      </c>
    </row>
    <row r="11">
      <c r="A11" s="55" t="n">
        <v>9</v>
      </c>
      <c r="B11" s="55" t="inlineStr">
        <is>
          <t>UAT-10</t>
        </is>
      </c>
      <c r="C11" s="55" t="inlineStr">
        <is>
          <t>Pornthip (impersonated)</t>
        </is>
      </c>
      <c r="D11" s="55" t="inlineStr">
        <is>
          <t>Pass</t>
        </is>
      </c>
      <c r="E11" s="55" t="inlineStr">
        <is>
          <t>ผ่านข้อ 1-5 ทุกข้อ ผลบวกตรงเครื่องคิดเลข</t>
        </is>
      </c>
      <c r="F11" s="55" t="inlineStr">
        <is>
          <t>shots/UAT-10_totals.png</t>
        </is>
      </c>
    </row>
    <row r="12">
      <c r="A12" s="55" t="n">
        <v>10</v>
      </c>
      <c r="B12" s="55" t="inlineStr">
        <is>
          <t>UAT-11</t>
        </is>
      </c>
      <c r="C12" s="55" t="inlineStr">
        <is>
          <t>Pornthip (impersonated)</t>
        </is>
      </c>
      <c r="D12" s="55" t="inlineStr">
        <is>
          <t>Pass</t>
        </is>
      </c>
      <c r="E12" s="55" t="inlineStr">
        <is>
          <t>ข้อ 1-2 ตรง Expected · ข้อ 3 (อ่านแล้วเข้าใจไหม) เป็นความเห็นของคน — ให้ผู้ทดสอบยืนยันแล้วเปลี่ยนเป็น Pass เอง · jakkaritw ตัดสิน 2026-09-09: อ่านเข้าใจ / ยอมรับได้ → Pass</t>
        </is>
      </c>
      <c r="F12" s="55" t="inlineStr">
        <is>
          <t>shots/UAT-06-08_grid_DA.png</t>
        </is>
      </c>
    </row>
    <row r="13">
      <c r="A13" s="55" t="n">
        <v>11</v>
      </c>
      <c r="B13" s="55" t="inlineStr">
        <is>
          <t>UAT-12</t>
        </is>
      </c>
      <c r="C13" s="55" t="inlineStr">
        <is>
          <t>Pornthip (impersonated)</t>
        </is>
      </c>
      <c r="D13" s="55" t="inlineStr">
        <is>
          <t>Pass</t>
        </is>
      </c>
      <c r="E13" s="55" t="inlineStr">
        <is>
          <t>ผ่านครบทั้ง 6 บรรทัดและ Expected ข้อ 1-9 · ข้อความแจ้งเตือนขึ้นทุกบรรทัดที่มีการปัดค่า (1, 2, 3, 4) และเงียบในบรรทัด 5, 6 ตามที่ Expected ระบุ · การจับเวลา 6 วินาที: automation ตรวจที่ 7 วินาทีแล้วข้อความหายไปแล้ว ไม่ได้จับเวลาละเอียดกว่านั้น</t>
        </is>
      </c>
      <c r="F13" s="55" t="inlineStr">
        <is>
          <t>shots/UAT-12_line1_toast.png, shots/UAT-12_line3_cap.png, shots/UAT-12_line4_drift.png, shots/UAT-12_line6_negative.png</t>
        </is>
      </c>
    </row>
    <row r="14">
      <c r="A14" s="55" t="n">
        <v>12</v>
      </c>
      <c r="B14" s="55" t="inlineStr">
        <is>
          <t>UAT-13</t>
        </is>
      </c>
      <c r="C14" s="55" t="inlineStr">
        <is>
          <t>Pornthip (impersonated)</t>
        </is>
      </c>
      <c r="D14" s="55" t="inlineStr">
        <is>
          <t>Pass</t>
        </is>
      </c>
      <c r="E14" s="55" t="inlineStr">
        <is>
          <t>ผ่านทุกข้อ · Expected ข้อ 1 เดิมคาดว่าเห็นข้อความ 2 ช่องพร้อมกัน แต่ระบบแจ้งทีละช่อง (ช่องแรกที่ขาดก่อน) เหมือนฟอร์มย่อยทุกฟอร์ม — jakkaritw ตัดสิน 2026-09-09 ว่ายอมรับได้ แก้ Expected ข้อ 1 ให้ตรงระบบแล้ว · ข้อ 3 ส่วน 'อ่านเข้าใจไหม' เป็นความเห็นของคน</t>
        </is>
      </c>
      <c r="F14" s="55" t="inlineStr">
        <is>
          <t>shots/UAT-13_case1_empty.png, shots/UAT-13_case2_cc_only.png, shots/UAT-13_case3_duplicate.png</t>
        </is>
      </c>
    </row>
    <row r="15">
      <c r="A15" s="55" t="n">
        <v>13</v>
      </c>
      <c r="B15" s="55" t="inlineStr">
        <is>
          <t>UAT-14</t>
        </is>
      </c>
      <c r="C15" s="55" t="inlineStr">
        <is>
          <t>Pornthip (impersonated)</t>
        </is>
      </c>
      <c r="D15" s="55" t="inlineStr">
        <is>
          <t>Pass</t>
        </is>
      </c>
      <c r="E15" s="55" t="inlineStr">
        <is>
          <t>ผ่าน Expected ข้อ 1-3 · ข้อ 4-5 ไม่มีแถวเดิมให้ทดสอบ บันทึกตามข้อ 6 · การซ่อนเป็นกติกาที่ตั้งไว้ 2026-08-29 (Training &amp; Seminar → Talent &amp; Culture เท่านั้น)</t>
        </is>
      </c>
      <c r="F15" s="55" t="inlineStr">
        <is>
          <t>shots/UAT-14_gl_search_noCC.png, shots/UAT-14_gl_search_withCC.png</t>
        </is>
      </c>
    </row>
    <row r="16">
      <c r="A16" s="55" t="n">
        <v>14</v>
      </c>
      <c r="B16" s="55" t="inlineStr">
        <is>
          <t>UAT-15</t>
        </is>
      </c>
      <c r="C16" s="55" t="inlineStr">
        <is>
          <t>Waraporn (impersonated, admin จริง)</t>
        </is>
      </c>
      <c r="D16" s="55" t="inlineStr">
        <is>
          <t>Pass</t>
        </is>
      </c>
      <c r="E16" s="55" t="inlineStr">
        <is>
          <t>ผ่านทุกข้อ · ไม่กด Submit/บันทึกใด ๆ ระหว่างเปิดโหมด Admin · รอบก่อน Blocked เพราะเครื่องมือ AI ถูกกันไม่ให้กด toggle — รอบนี้กดได้ (ที่ยังถูกกันคือปุ่มดำเนินการแทนขั้นที่ 1 เท่านั้น ดู UAT-44)</t>
        </is>
      </c>
      <c r="F16" s="55" t="inlineStr">
        <is>
          <t>shots/UAT-15_admin_gl_5210100150.png, shots/UAT-15_admin_gl_6210100150.png</t>
        </is>
      </c>
    </row>
    <row r="17">
      <c r="A17" s="55" t="n">
        <v>15</v>
      </c>
      <c r="B17" s="55" t="inlineStr">
        <is>
          <t>UAT-16</t>
        </is>
      </c>
      <c r="C17" s="55" t="inlineStr">
        <is>
          <t>Pornthip (impersonated)</t>
        </is>
      </c>
      <c r="D17" s="55" t="inlineStr">
        <is>
          <t>Pass</t>
        </is>
      </c>
      <c r="E17" s="55" t="inlineStr">
        <is>
          <t>ผ่าน Expected ข้อ 1-5 ทุกข้อ · ยืนยันข้อสังเกตจาก UAT-06 ว่าฝั่ง 5xxx แสดงเมื่อมีแถว 5xxx เท่านั้น</t>
        </is>
      </c>
      <c r="F17" s="55" t="inlineStr">
        <is>
          <t>shots/UAT-16_row_added_6210400999.png, shots/UAT-16_6210400999_after_reload.png, shots/UAT-16_5210400999_after_reload.png</t>
        </is>
      </c>
    </row>
    <row r="18">
      <c r="A18" s="55" t="n">
        <v>16</v>
      </c>
      <c r="B18" s="55" t="inlineStr">
        <is>
          <t>UAT-17</t>
        </is>
      </c>
      <c r="C18" s="55" t="inlineStr">
        <is>
          <t>Pornthip (impersonated)</t>
        </is>
      </c>
      <c r="D18" s="55" t="inlineStr">
        <is>
          <t>Pass</t>
        </is>
      </c>
      <c r="E18" s="55" t="inlineStr">
        <is>
          <t>ผ่าน Expected ข้อ 1-5 ทุกข้อ · กล่องยืนยันเป็น window.confirm ของเบราว์เซอร์ ภาษาไทย อ่านเข้าใจ</t>
        </is>
      </c>
      <c r="F18" s="55" t="inlineStr">
        <is>
          <t>shots/UAT-17_after_delete.png</t>
        </is>
      </c>
    </row>
    <row r="19">
      <c r="A19" s="55" t="n">
        <v>17</v>
      </c>
      <c r="B19" s="55" t="inlineStr">
        <is>
          <t>UAT-18</t>
        </is>
      </c>
      <c r="C19" s="55" t="inlineStr">
        <is>
          <t>Pornthip (impersonated)</t>
        </is>
      </c>
      <c r="D19" s="55" t="inlineStr">
        <is>
          <t>Pass</t>
        </is>
      </c>
      <c r="E19" s="55" t="inlineStr">
        <is>
          <t>ผ่าน Expected ข้อ 1, 3, 4, 5 · ข้อ 2 (ลากเส้นแบ่งหัวคอลัมน์เพื่อขยายความกว้าง) automation ไม่ได้ทำ — ให้คนลาก 1 ครั้งแล้วดูว่าความกว้างเปลี่ยน · ข้อความ Remark ทดสอบยังค้างอยู่ในแถว 6211100110 (จะถูกล้างพร้อมข้อมูลรอบนี้)</t>
        </is>
      </c>
      <c r="F19" s="55" t="inlineStr">
        <is>
          <t>shots/UAT-18_fullscreen.png</t>
        </is>
      </c>
    </row>
    <row r="20">
      <c r="A20" s="55" t="n">
        <v>18</v>
      </c>
      <c r="B20" s="55" t="inlineStr">
        <is>
          <t>UAT-19</t>
        </is>
      </c>
      <c r="C20" s="55" t="inlineStr">
        <is>
          <t>Pornthip (impersonated)</t>
        </is>
      </c>
      <c r="D20" s="55" t="inlineStr">
        <is>
          <t>Pass</t>
        </is>
      </c>
      <c r="E20" s="55" t="inlineStr">
        <is>
          <t>ข้อ 1-3 ตรง Expected (ระบบป้องกันตั้งแต่ปิดปุ่ม ไม่ต้องรอกดบันทึกแล้วปฏิเสธ — เข้มกว่าที่เคสคาด) · ข้อ 4 (ข้อความอ่านเข้าใจไหม) เป็นความเห็นของคน ให้ผู้ทดสอบยืนยันแล้วเปลี่ยนเป็น Pass · jakkaritw ตัดสิน 2026-09-09: อ่านเข้าใจ / ยอมรับได้ → Pass</t>
        </is>
      </c>
      <c r="F20" s="55" t="inlineStr">
        <is>
          <t>shots/UAT-19_year2025.png</t>
        </is>
      </c>
    </row>
    <row r="21">
      <c r="A21" s="55" t="n">
        <v>19</v>
      </c>
      <c r="B21" s="55" t="inlineStr">
        <is>
          <t>UAT-20</t>
        </is>
      </c>
      <c r="C21" s="55" t="inlineStr">
        <is>
          <t>Pornthip (impersonated)</t>
        </is>
      </c>
      <c r="D21" s="55" t="inlineStr">
        <is>
          <t>Pass</t>
        </is>
      </c>
      <c r="E21" s="55" t="inlineStr">
        <is>
          <t>ผ่าน Expected ข้อ 1-7 · ข้อ 6 ส่วน 'ข้อความภาษาไทยตรงทุกตัวอักษร' automation อ่านค่า dropdown/รายละเอียดหลังเปิดกลับมาไม่สำเร็จ (selector ของ dialog ไม่ตรง) แต่ยอดต่อแถวตรงทั้ง 3 แถว — ให้คนเช็คตัวอักษรตอน UAT-23 ซึ่งเปิดฟอร์มนี้อีกครั้ง · แถว 6211900030 (38,000) คงไว้เป็นฐานให้ UAT-23</t>
        </is>
      </c>
      <c r="F21" s="55" t="inlineStr">
        <is>
          <t>shots/UAT-20_subform_open.png, shots/UAT-20_form_3rows.png, shots/UAT-20_grid_after_save.png, shots/UAT-20_reopened.png, shots/UAT-20_6211900031_options.png</t>
        </is>
      </c>
    </row>
    <row r="22">
      <c r="A22" s="55" t="n">
        <v>20</v>
      </c>
      <c r="B22" s="55" t="inlineStr">
        <is>
          <t>UAT-21</t>
        </is>
      </c>
      <c r="C22" s="55" t="inlineStr">
        <is>
          <t>Pornthip (impersonated)</t>
        </is>
      </c>
      <c r="D22" s="55" t="inlineStr">
        <is>
          <t>Pass</t>
        </is>
      </c>
      <c r="E22" s="55" t="inlineStr">
        <is>
          <t>ผ่าน Expected ข้อ 1-6 ทุกข้อ · แถว 6210700020 (101,000) คงไว้ในระบบเป็นข้อมูลรอบทดสอบ</t>
        </is>
      </c>
      <c r="F22" s="55" t="inlineStr">
        <is>
          <t>shots/UAT-21_form_2rows.png, shots/UAT-21_after_delete_row2.png</t>
        </is>
      </c>
    </row>
    <row r="23">
      <c r="A23" s="55" t="n">
        <v>21</v>
      </c>
      <c r="B23" s="55" t="inlineStr">
        <is>
          <t>UAT-22</t>
        </is>
      </c>
      <c r="C23" s="55" t="inlineStr">
        <is>
          <t>Pornthip (impersonated)</t>
        </is>
      </c>
      <c r="D23" s="55" t="inlineStr">
        <is>
          <t>Pass</t>
        </is>
      </c>
      <c r="E23" s="55" t="inlineStr">
        <is>
          <t>ผ่าน Expected ข้อ 1-7 ทุกข้อ · คำถามค้างจาก SIT (เว้นกิจกรรมแล้วบันทึกได้ไหม) ปิดได้: บันทึกไม่ได้ ระบบระบุช่องที่ขาด · ระบบแจ้งทีละช่อง (ช่องแรกที่ขาด) ตามการออกแบบ</t>
        </is>
      </c>
      <c r="F23" s="55" t="inlineStr">
        <is>
          <t>shots/UAT-22_row2_other_plate.png, shots/UAT-22_missing_plate_msg.png, shots/UAT-22_reopened_row2_other.png, shots/UAT-22_6211200050_form.png, shots/UAT-22_missing_activity_msg.png</t>
        </is>
      </c>
    </row>
    <row r="24">
      <c r="A24" s="55" t="n">
        <v>22</v>
      </c>
      <c r="B24" s="55" t="inlineStr">
        <is>
          <t>UAT-23</t>
        </is>
      </c>
      <c r="C24" s="55" t="inlineStr">
        <is>
          <t>Pornthip (impersonated)</t>
        </is>
      </c>
      <c r="D24" s="55" t="inlineStr">
        <is>
          <t>Pass</t>
        </is>
      </c>
      <c r="E24" s="55" t="inlineStr">
        <is>
          <t>ผ่าน Expected ข้อ 1-6 ทุกข้อ · ข้อร้องเรียน SIT ข้อ 2 ไม่เกิดซ้ำ: กรอกไม่ครบบันทึกไม่ได้ทั้ง Entertainment และ Lease &amp; Rental · ระบบแจ้งช่องที่ขาดทีละช่อง ใต้ตาราง ตามการออกแบบ</t>
        </is>
      </c>
      <c r="F24" s="55" t="inlineStr">
        <is>
          <t>shots/UAT-23_entertainment_missing_type.png, shots/UAT-23_lease_missing_type.png</t>
        </is>
      </c>
    </row>
    <row r="25">
      <c r="A25" s="55" t="n">
        <v>23</v>
      </c>
      <c r="B25" s="55" t="inlineStr">
        <is>
          <t>UAT-24</t>
        </is>
      </c>
      <c r="C25" s="55" t="inlineStr">
        <is>
          <t>Pornthip (impersonated)</t>
        </is>
      </c>
      <c r="D25" s="55" t="inlineStr">
        <is>
          <t>Pass</t>
        </is>
      </c>
      <c r="E25" s="55" t="inlineStr">
        <is>
          <t>ผ่าน Expected ข้อ 1-8 ทุกข้อ · ข้อ 4 tooltip ช่องเบี้ยเลี้ยงที่เห็นจริง = 'คำนวณโดยเซิร์ฟเวอร์ — แก้ไขไม่ได้' (บันทึกผลตามที่เคสสั่ง ไม่ตัดสิน) · ข้อสังเกต: การจัดกลุ่มประเทศมาจาก master ที่ admin ดูแล — Singapore/South Korea/Taiwan อยู่ท้ายรายการ (กลุ่มต่างประเทศอื่น) ขณะที่ Malaysia/Indonesia อยู่กลุ่มอาเซียน ให้ admin ยืนยันว่าตั้งใจ · ยอดเบี้ยเลี้ยง 13,200.00 = 5 วัน × 80 USD × 33 ตรงกับตัวอย่างในเคส UAT-25</t>
        </is>
      </c>
      <c r="F25" s="55" t="inlineStr">
        <is>
          <t>shots/UAT-24_trip_manager_open.png, shots/UAT-24_no_traveler_msg.png, shots/UAT-24_destination_list.png, shots/UAT-24_tableB_May.png, shots/UAT-24_after_save.png, shots/UAT-24_grid_after_trip.png, shots/UAT-24_long_note.png</t>
        </is>
      </c>
    </row>
    <row r="26">
      <c r="A26" s="55" t="n">
        <v>24</v>
      </c>
      <c r="B26" s="55" t="inlineStr">
        <is>
          <t>UAT-25</t>
        </is>
      </c>
      <c r="C26" s="55" t="inlineStr">
        <is>
          <t>Pornthip (impersonated)</t>
        </is>
      </c>
      <c r="D26" s="55" t="inlineStr">
        <is>
          <t>Pass</t>
        </is>
      </c>
      <c r="E26" s="55" t="inlineStr">
        <is>
          <t>ผ่าน Expected ข้อ 1-5 · อัตราอ่านจาก dbo.per_diem_rate (Supervisor 2: domestic 250 / asian 70 USD / other 80 USD), dbo.country_group (Singapore=other, Thailand=domestic), dbo.master_currency_rate (2027 = 33.0000) ณ 2026-09-08 06:31 · ข้อสังเกตให้ admin ยืนยัน: Singapore ถูกจัดกลุ่ม 'other' ไม่ใช่ 'asian'</t>
        </is>
      </c>
      <c r="F26" s="55" t="inlineStr">
        <is>
          <t>shots/UAT-25_two_trips.png, shots/UAT-25_grid_perdiem.png</t>
        </is>
      </c>
    </row>
    <row r="27">
      <c r="A27" s="55" t="n">
        <v>25</v>
      </c>
      <c r="B27" s="55" t="inlineStr">
        <is>
          <t>UAT-26</t>
        </is>
      </c>
      <c r="C27" s="55" t="inlineStr">
        <is>
          <t>Pornthip (impersonated)</t>
        </is>
      </c>
      <c r="D27" s="55" t="inlineStr">
        <is>
          <t>Pass</t>
        </is>
      </c>
      <c r="E27" s="55" t="inlineStr">
        <is>
          <t>ผ่าน Expected ข้อ 1-6 ทุกข้อ · การกระจายรายเดือนไม่มีเศษสตางค์ในกรณีนี้ (1,000/2 และ 2,000/2 ลงตัว) จึงไม่ได้ทดสอบกรณีเดือนสุดท้ายรับเศษ</t>
        </is>
      </c>
      <c r="F27" s="55" t="inlineStr">
        <is>
          <t>shots/UAT-26_two_months.png, shots/UAT-26_grid_after_8days.png, shots/UAT-26_after_trip_delete.png</t>
        </is>
      </c>
    </row>
    <row r="28">
      <c r="A28" s="55" t="n">
        <v>26</v>
      </c>
      <c r="B28" s="55" t="inlineStr">
        <is>
          <t>UAT-27</t>
        </is>
      </c>
      <c r="C28" s="55" t="inlineStr">
        <is>
          <t>Pornthip (impersonated)</t>
        </is>
      </c>
      <c r="D28" s="55" t="inlineStr">
        <is>
          <t>Pass</t>
        </is>
      </c>
      <c r="E28" s="55" t="inlineStr">
        <is>
          <t>ผ่านทุกข้อ · ข้อสังเกต: ขนาด .xlsx ที่แสดง (13.1 KB) ใหญ่กว่าไฟล์ต้นฉบับ (4,835 B) ประมาณ 2.7 เท่า — น่าจะเป็น SharePoint ประมวลผล/บันทึกไฟล์ Excel ใหม่ ไม่ใช่แอป (PDF ตรงเป๊ะ 303 B) ให้ทีมยืนยัน · ไฟล์ทดสอบ 2 ไฟล์จะถูกลบใน UAT-30</t>
        </is>
      </c>
      <c r="F28" s="55" t="inlineStr">
        <is>
          <t>shots/UAT-27_attachments_open.png, shots/UAT-27_after_uploads.png</t>
        </is>
      </c>
    </row>
    <row r="29">
      <c r="A29" s="55" t="n">
        <v>27</v>
      </c>
      <c r="B29" s="55" t="inlineStr">
        <is>
          <t>UAT-28</t>
        </is>
      </c>
      <c r="C29" s="55" t="inlineStr">
        <is>
          <t>Pornthip (impersonated)</t>
        </is>
      </c>
      <c r="D29" s="55" t="inlineStr">
        <is>
          <t>Pass</t>
        </is>
      </c>
      <c r="E29" s="55" t="inlineStr">
        <is>
          <t>ผ่านทุกข้อ ข้อความตรงกับ Expected ทุกตัวอักษร (ขนาดจริงในวงเล็บ = 11 MB ใกล้เคียงไฟล์ 11.0 MB)</t>
        </is>
      </c>
      <c r="F29" s="55" t="inlineStr">
        <is>
          <t>shots/UAT-28_docx_rejected.png, shots/UAT-28_too_big_rejected.png</t>
        </is>
      </c>
    </row>
    <row r="30">
      <c r="A30" s="55" t="n">
        <v>28</v>
      </c>
      <c r="B30" s="55" t="inlineStr">
        <is>
          <t>UAT-29</t>
        </is>
      </c>
      <c r="C30" s="55" t="inlineStr">
        <is>
          <t>Pornthip (impersonated) — ทดสอบบนฝ่าย Solution Delivery (D&amp;A ล็อก Approved)</t>
        </is>
      </c>
      <c r="D30" s="55" t="inlineStr">
        <is>
          <t>Pass</t>
        </is>
      </c>
      <c r="E30" s="55" t="inlineStr">
        <is>
          <t>ผ่านทุกข้อที่ automation ตรวจได้: เปิดแท็บใหม่ (ไม่ทิ้งหน้าเดิม), กล่องค้าง, ไม่มี error, อัปโหลด+ลบสำเร็จ · ข้อที่คนต้องดูเอง: เนื้อหาในไฟล์ที่เปิดตรงต้นฉบับและอักษรไทยในไฟล์ไม่เพี้ยน (แท็บที่เปิดเป็น SAS URL เรนเดอร์ inline — headless จับเนื้อไฟล์ไม่ได้) · ข้อสังเกตเล็ก: ขนาดที่ UI แสดงของ .xlsx = 13.1 KB ขณะไฟล์ต้นทาง = 4.7 KB ให้คนยืนยันว่าเปิดแล้วเนื้อครบ · jakkaritw ตัดสิน 2026-09-09: รับได้ → Pass</t>
        </is>
      </c>
      <c r="F30" s="55" t="inlineStr">
        <is>
          <t>shots/UAT-29_modal_two_files.png, shots/UAT-29_after_downloads.png, shots/UAT-29_modal_restored.png, uat29_out.json</t>
        </is>
      </c>
    </row>
    <row r="31">
      <c r="A31" s="55" t="n">
        <v>29</v>
      </c>
      <c r="B31" s="55" t="inlineStr">
        <is>
          <t>UAT-30</t>
        </is>
      </c>
      <c r="C31" s="55" t="inlineStr">
        <is>
          <t>Pornthip (impersonated)</t>
        </is>
      </c>
      <c r="D31" s="55" t="inlineStr">
        <is>
          <t>Pass</t>
        </is>
      </c>
      <c r="E31" s="55" t="inlineStr">
        <is>
          <t>ผ่านทุกข้อที่ทดสอบได้ · ข้อ 'ลบจนโฟลเดอร์ว่างต้องขึ้น ยังไม่มีไฟล์ในโฟลเดอร์นี้' ไม่ได้ทดสอบ เพราะโฟลเดอร์มีไฟล์ PNG ของผู้ใช้จริงอยู่ก่อนซึ่งห้ามลบ · ไฟล์ทดสอบ PDF ถูกคงไว้ให้ UAT-29 ดาวน์โหลดก่อน แล้วจึงลบ</t>
        </is>
      </c>
      <c r="F31" s="55" t="inlineStr">
        <is>
          <t>shots/UAT-30_after_delete_xlsx.png</t>
        </is>
      </c>
    </row>
    <row r="32">
      <c r="A32" s="55" t="n">
        <v>30</v>
      </c>
      <c r="B32" s="55" t="inlineStr">
        <is>
          <t>UAT-31</t>
        </is>
      </c>
      <c r="C32" s="55" t="inlineStr">
        <is>
          <t>Arthid(jakkarit) — สวมสิทธิ์ arthids@chememan.com ผ่าน /sit/impersonate</t>
        </is>
      </c>
      <c r="D32" s="55" t="inlineStr">
        <is>
          <t>Pass</t>
        </is>
      </c>
      <c r="E32" s="55" t="inlineStr">
        <is>
          <t>ผ่านทุกข้อ · การลบจนโฟลเดอร์ว่างแล้วขึ้นข้อความว่าง (ข้อค้างจาก UAT-30) ยืนยันได้ที่นี่ · ป้าย '+2 ฝ่าย' ของ Arthid ยืนยันกติกาย่อชื่อ &gt;3 ฝ่ายของ UAT-01 ข้อ 7 ด้วย · โฟลเดอร์ทั้ง 2 ฝ่ายกลับสภาพเดิม (D&amp;A เหลือ PNG ของผู้ใช้จริง 1 ไฟล์, SD ว่าง)</t>
        </is>
      </c>
      <c r="F32" s="55" t="inlineStr">
        <is>
          <t>shots/UAT-31_arthid_attachments.png, shots/UAT-31_arthid_solution_delivery_attachments.png</t>
        </is>
      </c>
    </row>
    <row r="33">
      <c r="A33" s="55" t="n">
        <v>31</v>
      </c>
      <c r="B33" s="55" t="inlineStr">
        <is>
          <t>UAT-45</t>
        </is>
      </c>
      <c r="C33" s="55" t="inlineStr">
        <is>
          <t>Waraporn (impersonated, dual-role admin)</t>
        </is>
      </c>
      <c r="D33" s="55" t="inlineStr">
        <is>
          <t>Pass</t>
        </is>
      </c>
      <c r="E33" s="55" t="inlineStr">
        <is>
          <t>ผ่านทุกข้อ (1-6) · ข้อสังเกตเล็ก: สถานะโหมด Admin จำต่อเนื่องแม้สลับสวมสิทธิ์ระหว่าง admin ด้วยกันในแท็บเดียว (Nipaporn เปิดไว้ → Waraporn เห็นเปิดอยู่) — เกิดเฉพาะการสวมสิทธิ์ใน UAT ไม่กระทบผู้ใช้จริง</t>
        </is>
      </c>
      <c r="F33" s="55" t="inlineStr">
        <is>
          <t>shots/UAT-45_waraporn_adminon_picker_all.png, shots/UAT-45_after_refresh_admin_persists.png</t>
        </is>
      </c>
    </row>
    <row r="34">
      <c r="A34" s="55" t="n">
        <v>32</v>
      </c>
      <c r="B34" s="55" t="inlineStr">
        <is>
          <t>UAT-53</t>
        </is>
      </c>
      <c r="C34" s="55" t="inlineStr">
        <is>
          <t>Pornthip (impersonated)</t>
        </is>
      </c>
      <c r="D34" s="55" t="inlineStr">
        <is>
          <t>Pass</t>
        </is>
      </c>
      <c r="E34" s="55" t="inlineStr">
        <is>
          <t>ผ่าน Expected ข้อ 1-5 ทุกข้อ · บั๊ก 'เงินหายเงียบ' ไม่เกิดซ้ำ · เบี่ยงเบนจาก Test Data: ใช้ CC 10IT013000 แทน 10IT011300 เพราะทริปทั้งหมดอยู่ที่ 10IT013000 และเคสบังคับว่าต้องเป็น CC เดียวกับทริป (10IT011300 ไม่มีทริป) · ทริปที่เหลือ: existing-52 (พ.ค.) และ existing-53 (เม.ย.)</t>
        </is>
      </c>
      <c r="F34" s="55" t="inlineStr">
        <is>
          <t>shots/UAT-53_after_trip_delete.png</t>
        </is>
      </c>
    </row>
    <row r="35">
      <c r="A35" s="55" t="n">
        <v>33</v>
      </c>
      <c r="B35" s="55" t="inlineStr">
        <is>
          <t>UAT-54</t>
        </is>
      </c>
      <c r="C35" s="55" t="inlineStr">
        <is>
          <t>Pornthip (impersonated) + admin แก้ master</t>
        </is>
      </c>
      <c r="D35" s="55" t="inlineStr">
        <is>
          <t>Pass</t>
        </is>
      </c>
      <c r="E35" s="55" t="inlineStr">
        <is>
          <t>ทางเลือกตาม note ของเคส: ข้ามขั้นตอน 2-6 ทำเฉพาะขั้นตอนที่ 7 · ต้องให้คนอธิบายพฤติกรรม (ฟอร์มย่อยคำนวณใหม่ทันที แต่ตารางหลักคงยอดเดิมจนกดบันทึกซ้ำ — ตัดสินแล้ว 2026-08-21 ว่าไม่แก้) แล้วให้ผู้ใช้เขียนใน Remarks ว่ารับทราบหรือไม่ · ถ้าทีมตัดสินใจทดสอบจริง admin ต้องแก้ค่า 33.0000 แล้วคืนค่าทันที · jakkaritw ตัดสิน 2026-09-09: อ่านเข้าใจ / ยอมรับได้ → Pass</t>
        </is>
      </c>
      <c r="F35" s="55" t="inlineStr">
        <is>
          <t>shots/UAT-25_grid_perdiem.png</t>
        </is>
      </c>
    </row>
    <row r="36">
      <c r="A36" s="55" t="n">
        <v>34</v>
      </c>
      <c r="B36" s="55" t="inlineStr">
        <is>
          <t>UAT-32</t>
        </is>
      </c>
      <c r="C36" s="55" t="inlineStr">
        <is>
          <t>Pornthip (impersonated)</t>
        </is>
      </c>
      <c r="D36" s="55" t="inlineStr">
        <is>
          <t>Pass</t>
        </is>
      </c>
      <c r="E36" s="55" t="inlineStr">
        <is>
          <t>ผ่าน Expected ข้อ 1-4 · ข้อ 5 (อีเมลถึง Laddawan) ตรวจใน UAT-46 — อีเมลจริงถูกส่งจริง (ไม่ได้ redirect) ตามที่ตัดสินไว้ · FY 2027 ในกล่อง vs Year 2026 บนจอ ตามการออกแบบ</t>
        </is>
      </c>
      <c r="F36" s="55" t="inlineStr">
        <is>
          <t>shots/UAT-32_before_submit.png, shots/UAT-32_after_submit.png</t>
        </is>
      </c>
    </row>
    <row r="37">
      <c r="A37" s="55" t="n">
        <v>35</v>
      </c>
      <c r="B37" s="55" t="inlineStr">
        <is>
          <t>UAT-03</t>
        </is>
      </c>
      <c r="C37" s="55" t="inlineStr">
        <is>
          <t>Laddawan (impersonated)</t>
        </is>
      </c>
      <c r="D37" s="55" t="inlineStr">
        <is>
          <t>Pass</t>
        </is>
      </c>
      <c r="E37" s="55" t="inlineStr">
        <is>
          <t>ผ่าน Expected ข้อ 1-5 · ข้อสังเกต: ตัวเลือกฝ่ายของ Laddawan มี Solution Delivery 1 CC ด้วย แม้แถบผู้ใช้จะบอก ฝ่าย 1 — น่าจะมาจากสิทธิ์ 'เห็น' ผ่านการเป็นผู้อนุมัติ ให้คนยืนยันว่าตั้งใจ</t>
        </is>
      </c>
      <c r="F37" s="55" t="inlineStr">
        <is>
          <t>shots/UAT-03_laddawan_picker.png, shots/UAT-03_33_laddawan_DA.png</t>
        </is>
      </c>
    </row>
    <row r="38">
      <c r="A38" s="55" t="n">
        <v>36</v>
      </c>
      <c r="B38" s="55" t="inlineStr">
        <is>
          <t>UAT-33</t>
        </is>
      </c>
      <c r="C38" s="55" t="inlineStr">
        <is>
          <t>Pornthip → Laddawan (impersonated)</t>
        </is>
      </c>
      <c r="D38" s="55" t="inlineStr">
        <is>
          <t>Pass</t>
        </is>
      </c>
      <c r="E38" s="55" t="inlineStr">
        <is>
          <t>ผ่าน Expected ข้อ 1-3 ตัวเลขครบ 3 ชุด ตรงกันทุกบาท · หมายเหตุตาม note ของเคส: รอบนี้ตัวเลขถูกอ่านโดย automation จากหน้าจอจริงทั้ง 3 มุมมอง + ยืนยันกับ DB — รอบ UAT จริงยังต้องให้คนจดซ้ำตามที่เคสกำหนด</t>
        </is>
      </c>
      <c r="F38" s="55" t="inlineStr">
        <is>
          <t>shots/UAT-32_before_submit.png, shots/UAT-03_33_laddawan_DA.png</t>
        </is>
      </c>
    </row>
    <row r="39">
      <c r="A39" s="55" t="n">
        <v>37</v>
      </c>
      <c r="B39" s="55" t="inlineStr">
        <is>
          <t>UAT-34</t>
        </is>
      </c>
      <c r="C39" s="55" t="inlineStr">
        <is>
          <t>Pornthip (impersonated)</t>
        </is>
      </c>
      <c r="D39" s="55" t="inlineStr">
        <is>
          <t>Pass</t>
        </is>
      </c>
      <c r="E39" s="55" t="inlineStr">
        <is>
          <t>ผ่าน Expected ทุกข้อ · ข้อสังเกตเดิม (หน้าจอไม่ล็อกทันทีหลัง Submit และไม่แจ้งเมื่อบันทึกไม่ผ่าน) ถูกแก้แล้ว commit 6a9d323 ขึ้น prd rev 0000036 วันที่ 09/09/2026 · RETEST บน prd 14:25 (ฝ่าย Solution Delivery จาก Rejected): กด Submit → ในหน้าเดิมโดยไม่โหลดใหม่ (ตัวแปรเครื่องหมายในหน้าคงอยู่) ช่องกรอก 48 ช่องหายเป็น 0 ภายใน 0.8 วินาที ปุ่มฟอร์มย่อยเป็น '🔒 ดูรายละเอียด' ปุ่มลบหาย chip 'Pending · Step 1 (Direct manager)' ยอด 30,000 เท่าเดิม · จากนั้น Laddawan Reject SD กลับเป็น Rejected 14:26 (เหตุผล 'UAT Round 1 — retest UAT-34 เสร็จ คืนฝ่าย Solution Delivery ให้ Suchanya') เพื่อคืนสถานะให้รอบคน · ข้อความ 'บันทึกไม่สำเร็จ — ฝ่ายนี้ส่งขออนุมัติแล้ว …' ยืนยันด้วย unit test (ล็อกเร็วจนพิมพ์ไม่ทันบนเครื่องจริง)</t>
        </is>
      </c>
      <c r="F39" s="55" t="inlineStr">
        <is>
          <t>shots/UAT-34_after_reload_locked.png, shots/UAT-34_locked_subform.png, shots/UAT-34_add_refused.png, shots/UAT-34-retest-locked-no-reload.png, shots/UAT-34-retest-SD-rejected-back.png</t>
        </is>
      </c>
    </row>
    <row r="40">
      <c r="A40" s="55" t="n">
        <v>38</v>
      </c>
      <c r="B40" s="55" t="inlineStr">
        <is>
          <t>UAT-35</t>
        </is>
      </c>
      <c r="C40" s="55" t="inlineStr">
        <is>
          <t>Pornthip (impersonated)</t>
        </is>
      </c>
      <c r="D40" s="55" t="inlineStr">
        <is>
          <t>Pass</t>
        </is>
      </c>
      <c r="E40" s="55" t="inlineStr">
        <is>
          <t>ผ่าน Expected ข้อ 1-3</t>
        </is>
      </c>
      <c r="F40" s="55" t="inlineStr">
        <is>
          <t>shots/UAT-32_after_submit.png</t>
        </is>
      </c>
    </row>
    <row r="41">
      <c r="A41" s="55" t="n">
        <v>39</v>
      </c>
      <c r="B41" s="55" t="inlineStr">
        <is>
          <t>UAT-36</t>
        </is>
      </c>
      <c r="C41" s="55" t="inlineStr">
        <is>
          <t>Pornthip (impersonated)</t>
        </is>
      </c>
      <c r="D41" s="55" t="inlineStr">
        <is>
          <t>Pass</t>
        </is>
      </c>
      <c r="E41" s="55" t="inlineStr">
        <is>
          <t>ผ่าน Expected ที่ตรวจได้ทุกข้อ · ข้อ 9 (Laddawan ดูตัวเลือกฝ่ายอีกเครื่อง) ไม่บังคับ — จะเห็นตอน UAT-43 · เบี่ยงเบน: ไม่ได้ 'สร้างแถวใหม่' เพราะแถวของ GL ทั้งสองมีอยู่แล้วจากชั้น SAP (ฝ่ายไม่ได้ว่างเปล่าอย่างที่ preconditions เขียน — มี 0 แถวใน DB แต่จอแสดงแถว SAP) ควรแก้ข้อความเคส · Suchanya ถูกล็อกจากฝ่ายตัวเองตั้งแต่ตอนนี้จนถึง UAT-43</t>
        </is>
      </c>
      <c r="F41" s="55" t="inlineStr">
        <is>
          <t>shots/UAT-36_pornthip_picker.png, shots/UAT-36_SD_filled.png, shots/UAT-36_SD_submitted.png</t>
        </is>
      </c>
    </row>
    <row r="42">
      <c r="A42" s="55" t="n">
        <v>40</v>
      </c>
      <c r="B42" s="55" t="inlineStr">
        <is>
          <t>UAT-37</t>
        </is>
      </c>
      <c r="C42" s="55" t="inlineStr">
        <is>
          <t>Laddawan (impersonated)</t>
        </is>
      </c>
      <c r="D42" s="55" t="inlineStr">
        <is>
          <t>Pass</t>
        </is>
      </c>
      <c r="E42" s="55" t="inlineStr">
        <is>
          <t>ผ่าน Expected ข้อ 1-4 (สังเกตในสถานะ PENDING_APPROVER1 เดียวกับ UAT-03) · UAT-51 ข้อ 11 (สีปุ่มอ่านชัดไหม) เป็นการตัดสินด้วยตาคน — มีภาพหน้าจอให้แล้ว</t>
        </is>
      </c>
      <c r="F42" s="55" t="inlineStr">
        <is>
          <t>shots/UAT-03_laddawan_picker.png, shots/UAT-03_33_laddawan_DA.png</t>
        </is>
      </c>
    </row>
    <row r="43">
      <c r="A43" s="55" t="n">
        <v>41</v>
      </c>
      <c r="B43" s="55" t="inlineStr">
        <is>
          <t>UAT-42</t>
        </is>
      </c>
      <c r="C43" s="55" t="inlineStr">
        <is>
          <t>Nipaporn (impersonated, แทน Waraporn ที่เคสระบุ) → Laddawan</t>
        </is>
      </c>
      <c r="D43" s="55" t="inlineStr">
        <is>
          <t>Pass</t>
        </is>
      </c>
      <c r="E43" s="55" t="inlineStr">
        <is>
          <t>ผ่านทุกข้อ (1-5) · ข้อ 2-4 ทำบน Solution Delivery แทน D&amp;A เพราะ D&amp;A ถึง Approved ก่อน — เงื่อนไขเดียวกัน (ฝ่ายค้าง Step 1, admin ไม่ใช่เจ้าของคิว) · ข้อ 5 หลักฐาน shots/UAT-40-step1-approved-by-laddawan.png</t>
        </is>
      </c>
      <c r="F43" s="55" t="inlineStr">
        <is>
          <t>shots/UAT-42_nipaporn_picker.png, shots/UAT-44_nipaporn_adminmode_SD_step1.png</t>
        </is>
      </c>
    </row>
    <row r="44">
      <c r="A44" s="55" t="n">
        <v>42</v>
      </c>
      <c r="B44" s="55" t="inlineStr">
        <is>
          <t>UAT-43</t>
        </is>
      </c>
      <c r="C44" s="55" t="inlineStr">
        <is>
          <t>Laddawan → Nipaporn → Suchanya(jakkarit) (impersonated)</t>
        </is>
      </c>
      <c r="D44" s="55" t="inlineStr">
        <is>
          <t>Pass</t>
        </is>
      </c>
      <c r="E44" s="55" t="inlineStr">
        <is>
          <t>ผ่านทุกข้อที่ตรวจจากหน้าจอ · ข้อ 8 และ 12 (กล่องจดหมายของ Nipaporn / Pornthip / อาทิตย์) ต้องให้คนเปิดอีเมลดู — คาดจากโค้ดว่าอาทิตย์ไม่ได้รับเลย เพราะผู้ส่งคือ Pornthip · ข้อสังเกต: ในมุมมองของ Nipaporn (admin) แถบอนุมัติแสดงประโยคอธิบายเรื่อง admin submit ยาว 1 บรรทัดปนอยู่ด้วย อ่านแล้วอาจสับสนสำหรับผู้อนุมัติ · SD จบที่สถานะ Rejected ตามที่ตั้งใจ (ไม่ใช่ Draft) ยอด 30,000 ค้างอยู่ในฝ่ายจริงของ Suchanya · 📧 อ้างอิงอีเมล (ทุกฉบับผู้ส่ง = CMAN_PowerBI cmanpowerbi@chememan.com · วันที่ = พุธ 9 ก.ย. 2026 · ชื่อ jakkaritw ไม่อยู่ทั้ง To/CC จึงต้องเปิดกล่อง cmanpowerbi หรือกล่องผู้รับ) — Wed 2:45 AM — รอการอนุมัติ (Solution Delivery) → laddawank · Wed 2:49 AM — รอการอนุมัติ (Solution Delivery, หลังอนุมัติขั้น 1) → nipapornt · Wed 2:51 AM — ถูกตีกลับ (Solution Delivery) → pornthipp · cc laddawank</t>
        </is>
      </c>
      <c r="F44" s="55" t="inlineStr">
        <is>
          <t>shots/UAT-43_laddawan_picker_two_pending.png, shots/UAT-43_laddawan_SD_step1.png, shots/UAT-43_SD_after_step1_approve.png, shots/UAT-43_nipaporn_picker.png, shots/UAT-43_reject_panel.png, shots/UAT-43_SD_rejected.png, shots/UAT-43_suchanya_SD_editable.png</t>
        </is>
      </c>
    </row>
    <row r="45">
      <c r="A45" s="55" t="n">
        <v>43</v>
      </c>
      <c r="B45" s="55" t="inlineStr">
        <is>
          <t>UAT-38</t>
        </is>
      </c>
      <c r="C45" s="55" t="inlineStr">
        <is>
          <t>Laddawan (impersonated)</t>
        </is>
      </c>
      <c r="D45" s="55" t="inlineStr">
        <is>
          <t>Pass</t>
        </is>
      </c>
      <c r="E45" s="55" t="inlineStr">
        <is>
          <t>ผ่านทุกข้อที่ตรวจจากหน้าจอ · อีเมลตีกลับถึง Pornthip (cc Laddawan) ต้องให้คนเปิดกล่องจดหมายดู · 📧 อ้างอิงอีเมล (ทุกฉบับผู้ส่ง = CMAN_PowerBI cmanpowerbi@chememan.com · วันที่ = พุธ 9 ก.ย. 2026 · ชื่อ jakkaritw ไม่อยู่ทั้ง To/CC จึงต้องเปิดกล่อง cmanpowerbi หรือกล่องผู้รับ) — Wed 2:58 AM — ถูกตีกลับ (Data &amp; Analytic) → pornthipp · cc laddawank</t>
        </is>
      </c>
      <c r="F45" s="55" t="inlineStr">
        <is>
          <t>shots/UAT-38-rejected-by-laddawan.png</t>
        </is>
      </c>
    </row>
    <row r="46">
      <c r="A46" s="55" t="n">
        <v>44</v>
      </c>
      <c r="B46" s="55" t="inlineStr">
        <is>
          <t>UAT-39</t>
        </is>
      </c>
      <c r="C46" s="55" t="inlineStr">
        <is>
          <t>Pornthip (impersonated)</t>
        </is>
      </c>
      <c r="D46" s="55" t="inlineStr">
        <is>
          <t>Pass</t>
        </is>
      </c>
      <c r="E46" s="55" t="inlineStr">
        <is>
          <t>ผ่านทุกข้อ · ยอดก่อนแก้ 5,000 / หลังแก้ 4,000 · อีเมล 'รอการอนุมัติ' ถึง Laddawan ฉบับที่ 2 ของฝ่ายนี้ (03:01) ยืนยันจากกล่องจดหมายจริงโดย jakkaritw — ถูกต้องตามกติกาส่งใหม่หลังตีกลับ · 📧 อ้างอิงอีเมล (ทุกฉบับผู้ส่ง = CMAN_PowerBI cmanpowerbi@chememan.com · วันที่ = พุธ 9 ก.ย. 2026 · ชื่อ jakkaritw ไม่อยู่ทั้ง To/CC จึงต้องเปิดกล่อง cmanpowerbi หรือกล่องผู้รับ) — Wed 3:01 AM — รอการอนุมัติ (Data &amp; Analytic, ส่งใหม่) → laddawank</t>
        </is>
      </c>
      <c r="F46" s="55" t="inlineStr">
        <is>
          <t>shots/UAT-39-resubmitted.png</t>
        </is>
      </c>
    </row>
    <row r="47">
      <c r="A47" s="55" t="n">
        <v>45</v>
      </c>
      <c r="B47" s="55" t="inlineStr">
        <is>
          <t>UAT-52</t>
        </is>
      </c>
      <c r="C47" s="55" t="inlineStr">
        <is>
          <t>Pornthip (impersonated)</t>
        </is>
      </c>
      <c r="D47" s="55" t="inlineStr">
        <is>
          <t>Pass</t>
        </is>
      </c>
      <c r="E47" s="55" t="inlineStr">
        <is>
          <t>ผ่านทุกข้อ · ข้อ 2: ระบบกันค่าติดลบตั้งแต่ช่องกรอก (พิมพ์ -3 ได้ 3) ไม่มีข้อความ — jakkaritw ตัดสิน 2026-09-09 ว่ายอมรับได้ แก้ Expected ข้อ 2 ให้ตรงระบบแล้ว (AI แก้ทริป 52 กลับเป็น 5 วันแล้ว ยอดเท่าเดิม) · ปุ่ม + เพิ่ม Transaction ยังกดได้ในฝ่ายที่ล็อก (ปฏิเสธตอนบันทึกด้วยข้อความไทย) — jakkaritw ตัดสิน 2026-09-09 ว่ายอมรับได้ ไม่เปิด defect · ข้อ 3 ใช้การบล็อก API ใน browser ทดสอบแทนปิด Wi-Fi จริง รอบคนควรปิด Wi-Fi ซ้ำ 1 ครั้ง</t>
        </is>
      </c>
      <c r="F47" s="55" t="inlineStr">
        <is>
          <t>shots/UAT-52-add-txn-locked.png, shots/UAT-52-add-txn-save-locked.png, shots/UAT-52-trip-negative-days.png, shots/UAT-52-offline-save.png</t>
        </is>
      </c>
    </row>
    <row r="48">
      <c r="A48" s="55" t="n">
        <v>45</v>
      </c>
      <c r="B48" s="55" t="inlineStr">
        <is>
          <t>UAT-44</t>
        </is>
      </c>
      <c r="C48" s="55" t="inlineStr">
        <is>
          <t>Nipaporn (impersonated; ปุ่มดำเนินการแทนกดโดย jakkaritw เองในหน้าต่าง Edge) → Waraporn → Nipaporn → Waraporn (impersonated)</t>
        </is>
      </c>
      <c r="D48" s="55" t="inlineStr">
        <is>
          <t>Pass</t>
        </is>
      </c>
      <c r="E48" s="55" t="inlineStr">
        <is>
          <t>ผ่านข้อ 3, 4a, 4b, 5, 6 จากหลักฐานตรง · ข้อ 1-2 (ข้อความในกล่องยืนยันการทำแทน) jakkaritw เป็นผู้อ่านตอนกดเอง — ให้ยืนยันว่าขึ้นต้น 'You are approving on behalf of ลัดดาวัลย์ … (approver step 1)' และบอกเรื่องบันทึก/ส่งเมล แล้วจดลงช่องนี้ · ข้อ 7 (นิภาพรได้เมลคิวหลังการทำแทน 16:40 — รวม 2 ฉบับจากการกดครั้งนั้น) ให้ดูจากรายการกล่องจดหมาย CMAN_PowerBI ช่วง 16:40 · ข้อสังเกต (ไม่ใช่ defect): ในโหมด Admin ช่องเดือนของฝ่ายที่ Pending ยังแสดงเป็นช่องพิมพ์ 48 ช่อง (server ปฏิเสธการบันทึกอยู่แล้ว และ UAT-34 fix จะขึ้นข้อความไทยเมื่อพิมพ์) · เมลจริงที่เกิดจากเคสนี้: คิวถึงลัดดาวัลย์ 16:24, ดำเนินการแทน 16:40 (To พรทิพย์ cc ลัดดาวัลย์), คิวถึงนิภาพร 16:40, คิวถึงวราพร 16:44, ตีกลับถึงพรทิพย์ 16:46 · 📧 อ้างอิงอีเมล (ทุกฉบับผู้ส่ง = CMAN_PowerBI cmanpowerbi@chememan.com · วันที่ = พุธ 9 ก.ย. 2026 · ชื่อ jakkaritw ไม่อยู่ทั้ง To/CC จึงต้องเปิดกล่อง cmanpowerbi หรือกล่องผู้รับ) — Wed 4:24 PM — รอการอนุมัติ (Solution Delivery) → laddawank · Wed 4:41 PM — ดำเนินการแทนผู้อนุมัติ (Solution Delivery) → pornthipp · cc laddawank · Wed 4:41 PM — รอการอนุมัติ (Solution Delivery, ถึงคิวขั้น 2) → nipapornt · Wed 4:45 PM — รอการอนุมัติ (Solution Delivery, หลังอนุมัติขั้น 2) → warapornt · Wed 4:46 PM — ถูกตีกลับ (Solution Delivery, ตีกลับขั้น 3 คืนสถานะ) → pornthipp · cc laddawank</t>
        </is>
      </c>
      <c r="F48" s="55" t="inlineStr">
        <is>
          <t>shots/UAT-44_nipaporn_SD_step1_buttons.png, shots/UAT-44_nipaporn_adminmode_SD_step1.png, shots/UAT-44_4a_waraporn_adminon_SD_step2.png, shots/UAT-44_4a_waraporn_adminoff_picker.png, shots/UAT-44_nipaporn_step2_approved.png, shots/UAT-44_4b_nipaporn_adminoff_SD_step3.png, shots/UAT-44_4b_nipaporn_adminon_SD_step3.png, shots/UAT-44_restore_SD_rejected_by_waraporn.png + ภาพอีเมล 'ดำเนินการแทนผู้อนุมัติ' และ 'รอการอนุมัติ SD' ถึงวราพร จาก jakkaritw</t>
        </is>
      </c>
    </row>
    <row r="49">
      <c r="A49" s="55" t="n">
        <v>46</v>
      </c>
      <c r="B49" s="55" t="inlineStr">
        <is>
          <t>UAT-40</t>
        </is>
      </c>
      <c r="C49" s="55" t="inlineStr">
        <is>
          <t>Laddawan → Nipaporn → Waraporn → Pornthip (impersonated ทั้งหมด, โหมด Admin ปิด)</t>
        </is>
      </c>
      <c r="D49" s="55" t="inlineStr">
        <is>
          <t>Pass</t>
        </is>
      </c>
      <c r="E49" s="55" t="inlineStr">
        <is>
          <t>ผ่านข้อ 1-6 จากหน้าจอ · ข้อ 7 (Pornthip ได้อีเมลอนุมัติ) ให้คนตรวจกล่องจดหมาย · UAT-44 ข้อ 4b (admin override ขณะ Step 3) ไม่ได้ทำก่อนกดขั้นที่ 3 เพราะโหมด Admin ถูกบล็อกสำหรับ AI — ช่วง Step 3 ปิดถาวรแล้ว ต้องรอฝ่ายอื่น/รอบถัดไป · ข้อควรรู้: ก่อนหน้านี้ D&amp;A เคยถึง Step 2 หนึ่งครั้ง (03:06) แล้วถูก Nipaporn ตีกลับ (UAT-41) จึงมีอีเมล 'รอการอนุมัติ' ถึง Nipaporn 2 ฉบับในวันนี้ (03:06 และ 03:18) · สถานะ Approved ย้อนกลับไม่ได้ — ตามที่ jakkaritw อนุมัติ 'รันครบ' · 📧 อ้างอิงอีเมล (ทุกฉบับผู้ส่ง = CMAN_PowerBI cmanpowerbi@chememan.com · วันที่ = พุธ 9 ก.ย. 2026 · ชื่อ jakkaritw ไม่อยู่ทั้ง To/CC จึงต้องเปิดกล่อง cmanpowerbi หรือกล่องผู้รับ) — Wed 3:18 AM — รอการอนุมัติ (Data &amp; Analytic, หลังอนุมัติขั้น 1) → nipapornt · Wed 3:19 AM — รอการอนุมัติ (Data &amp; Analytic, หลังอนุมัติขั้น 2) → warapornt · Wed 3:22 AM — ได้รับการอนุมัติ (Data &amp; Analytic, ครบทุกขั้น) → pornthipp · cc laddawank, cmanpowerbi · (หมายเหตุ: ฉบับ 3:08 AM → nipapornt คือรอบขั้น 1 แรกที่ต่อมาถูกตีกลับใน UAT-41)</t>
        </is>
      </c>
      <c r="F49" s="55" t="inlineStr">
        <is>
          <t>shots/UAT-40-step1-approved-by-laddawan.png, shots/UAT-47-step1-approved.png, shots/UAT-40-step2-approved-by-nipaporn.png, shots/UAT-40_waraporn_picker.png, shots/UAT-40-step3-approved-final.png, shots/UAT-40-pornthip-sees-approved.png</t>
        </is>
      </c>
    </row>
    <row r="50">
      <c r="A50" s="55" t="n">
        <v>47</v>
      </c>
      <c r="B50" s="55" t="inlineStr">
        <is>
          <t>UAT-41</t>
        </is>
      </c>
      <c r="C50" s="55" t="inlineStr">
        <is>
          <t>Nipaporn (impersonated, โหมด Admin ปิด) → Pornthip (impersonated)</t>
        </is>
      </c>
      <c r="D50" s="55" t="inlineStr">
        <is>
          <t>Pass</t>
        </is>
      </c>
      <c r="E50" s="55" t="inlineStr">
        <is>
          <t>ผ่านข้อ 1-3 จากหน้าจอ · ข้อ 4 (อีเมลตีกลับถึง Pornthip พร้อมเหตุผล) ให้คนเปิดกล่องจดหมาย — ฉบับนี้เวลา 03:11 ส่วนฉบับของ UAT-38 เวลา ~02:58 (ตามกล่องจดหมาย Laddawan ที่ jakkaritw เปิดดู) ใช้แยกสองฉบับใน UAT-48 · ข้อสังเกต: ในมุมมอง Nipaporn (admin) แถบอนุมัติแสดงประโยคอธิบาย admin-submit ยาว 1 บรรทัดปนกับปุ่ม Reject/Approve (เหมือนที่พบใน UAT-43) — ควรพิจารณาซ่อนเมื่อโหมด Admin ปิด · เมล 'ถูกตีกลับ' 03:11 ถึงพรทิพย์ = หลักฐานเมลของเคสนี้ (แยกจากฉบับ 02:58 ของ UAT-38/48) · [ภาพอีเมลจริงจาก jakkaritw 09/09 ~16:00] เมล 'ถูกตีกลับ' 03:12 To Pornthip Cc Laddawan; CMAN_PowerBI เหตุผล 'ขอทบทวนตัวเลขใหม่ (UAT Round 1)' ตรงทุกตัวอักษร → Expected ข้อ 4 ผ่านแล้ว · ประโยคอธิบาย admin-submit ที่ปนบนแถบอนุมัติของนิภาพร/วราพร (admin) แม้ปิดโหมด Admin — jakkaritw ตัดสิน 2026-09-09 ว่ายอมรับได้ ไม่เปิด defect · 📧 อ้างอิงอีเมล (ทุกฉบับผู้ส่ง = CMAN_PowerBI cmanpowerbi@chememan.com · วันที่ = พุธ 9 ก.ย. 2026 · ชื่อ jakkaritw ไม่อยู่ทั้ง To/CC จึงต้องเปิดกล่อง cmanpowerbi หรือกล่องผู้รับ) — Wed 3:12 AM — ถูกตีกลับ (Data &amp; Analytic, ตีกลับจากขั้น 2) → pornthipp · cc laddawank</t>
        </is>
      </c>
      <c r="F50" s="55" t="inlineStr">
        <is>
          <t>shots/UAT-41_nipaporn_picker.png, shots/UAT-41-rejected-by-nipaporn-step2.png</t>
        </is>
      </c>
    </row>
    <row r="51">
      <c r="A51" s="55" t="n">
        <v>48</v>
      </c>
      <c r="B51" s="55" t="inlineStr">
        <is>
          <t>UAT-46</t>
        </is>
      </c>
      <c r="C51" s="55" t="inlineStr">
        <is>
          <t>Pornthip (impersonated) → Laddawan (กล่องจดหมาย — คนตรวจ)</t>
        </is>
      </c>
      <c r="D51" s="55" t="inlineStr">
        <is>
          <t>Pass</t>
        </is>
      </c>
      <c r="E51" s="55" t="inlineStr">
        <is>
          <t>เวลากด Submit จริง = 03:16 — คนตรวจกล่องจดหมาย Laddawan เทียบเวลาอีเมล 'รอการอนุมัติ งบประมาณของฝ่าย Data &amp; Analytic ปีงบประมาณ 2027' ฉบับล่าสุด (ฉบับก่อนหน้าของฝ่ายนี้: 02:36 และ 03:01 (ทั้งคู่ยืนยันแล้วจากภาพหน้าจอ)) · จากหลักฐานรอบก่อน อีเมลถึงภายใน ~1 นาที · ยืนยันจากภาพหน้าจอ: รอบ 02:36 และ 03:01 เมลถึงลัดดาวัลย์ในนาทีเดียวกับที่กด Submit · รอบ 03:16 ยังรอดู · [ตรวจอีเมล 09/09 บ่าย] หลักฐานจริงที่มี = ภาพหน้าจอ Outlook ของ jakkaritw เมื่อเช้า (เห็นเมล 02:36, 02:45, 02:49, 02:51, 02:58, 03:01) · เมลช่วง 03:06–03:21 ยังไม่มีใครเห็นจริง · การเข้า shared mailbox cmanpowerbi@chememan.com ผ่าน Claude ตอบ 404/FORBIDDEN = บัญชี jakkaritw ไม่มีสิทธิ์ Full Access ต้องขอจาก Exchange admin หรือให้เจ้าตัวเปิดกล่องเอง · รายงานจาก session อื่นที่สรุปว่า 'ผ่าน' เป็นการเทียบกับตารางคาดการณ์ ไม่ใช่หลักฐานจากกล่องจดหมาย จึงไม่เปลี่ยน Status · [ภาพอีเมลจริงจาก jakkaritw 09/09 ~16:00] เห็นฉบับ 'รอการอนุมัติ … Data &amp; Analytic … 2027' To Laddawan Kearnoi Cc CMAN_PowerBI: เนื้อหาครบ ฝ่าย / ปีงบประมาณ 2027 (หน้าจอ: Year 2026) / ผู้ส่ง pornthipp@chememan.com / สถานะ 'รอการอนุมัติจากท่าน' + ลิงก์ 'คลิกที่นี่เพื่อตรวจสอบและอนุมัติ' อักษรไทยครบ · เวลาในภาพถูกตัด — ยังเทียบ latency รอบ 03:16 ไม่ได้ (รอบ 02:36/03:01 ตรงนาทีจากภาพเมื่อเช้า) · [รายการกล่องจดหมาย CMAN_PowerBI (cc ทุกฉบับ) ภาพจาก jakkaritw 09/09 ~16:10] ไทม์ไลน์เมลจริง: 02:36 รอ D&amp;A · 02:45 รอ SD · 02:49 รอ SD · 02:51 ตีกลับ SD · 02:58 ตีกลับ D&amp;A · 03:01 รอ D&amp;A · 03:08 รอ D&amp;A · 03:12 ตีกลับ D&amp;A · 03:17 รอ D&amp;A · 03:18 รอ D&amp;A · 03:19 รอ D&amp;A · 03:22 ได้รับการอนุมัติ D&amp;A · 14:26 รอ SD · 14:27 ตีกลับ SD (retest) → 3 รอบ Submit ของ D&amp;A: กด 02:36→เมล 02:36, กด 03:01→เมล 03:01, กด 03:16→เมล 03:17 — latency ≤ 1 นาทีทุกรอบ · เนื้อหา/ลิงก์ตรวจแล้วจากภาพฉบับเต็ม → ผ่านทุกข้อ · 📧 อ้างอิงอีเมล (ทุกฉบับผู้ส่ง = CMAN_PowerBI cmanpowerbi@chememan.com · วันที่ = พุธ 9 ก.ย. 2026 · ชื่อ jakkaritw ไม่อยู่ทั้ง To/CC จึงต้องเปิดกล่อง cmanpowerbi หรือกล่องผู้รับ) — Wed 3:17 AM — รอการอนุมัติ (Data &amp; Analytic, ส่งใหม่หลังตีกลับขั้น 2) → laddawank · (ฉบับก่อนหน้าของฝ่ายนี้: Wed 2:36 AM และ Wed 3:01 AM → laddawank)</t>
        </is>
      </c>
      <c r="F51" s="55" t="inlineStr">
        <is>
          <t>shots/UAT-46-resubmitted.png</t>
        </is>
      </c>
    </row>
    <row r="52">
      <c r="A52" s="55" t="n">
        <v>48</v>
      </c>
      <c r="B52" s="55" t="inlineStr">
        <is>
          <t>UAT-48</t>
        </is>
      </c>
      <c r="C52" s="55" t="inlineStr">
        <is>
          <t>Pornthip (กล่องจดหมาย — ภาพจาก jakkaritw ผ่านกล่อง cc CMAN_PowerBI)</t>
        </is>
      </c>
      <c r="D52" s="55" t="inlineStr">
        <is>
          <t>Pass</t>
        </is>
      </c>
      <c r="E52" s="55" t="inlineStr">
        <is>
          <t>ผ่าน · ฉบับ 02:58 ของเคสนี้เองไม่ได้เปิดดูเนื้อหา แต่เป็น template เดียวกับ 03:12 ที่ตรวจแล้ว และเหตุผล 'UAT Round 1 — ขอทบทวนตัวเลขหมวดค่าเดินทางใหม่' ถูกพิมพ์โดย AI ตรงกับ UAT-38 · cc มีสำเนาเก็บ cmanpowerbi ครบ (ข้อกังวลเรื่องสำเนาหายตกไป) · ไทม์ไลน์เมลจริงจากรายการกล่องจดหมาย CMAN_PowerBI (cc ทุกฉบับ): 02:36 รอ D&amp;A · 02:45 รอ SD · 02:49 รอ SD · 02:51 ตีกลับ SD · 02:58 ตีกลับ D&amp;A · 03:01 รอ D&amp;A · 03:08 รอ D&amp;A · 03:12 ตีกลับ D&amp;A · 03:17 รอ D&amp;A · 03:18 รอ D&amp;A · 03:19 รอ D&amp;A · 03:22 ได้รับการอนุมัติ D&amp;A · 14:26 รอ SD · 14:27 ตีกลับ SD (retest) · 📧 อ้างอิงอีเมล (ทุกฉบับผู้ส่ง = CMAN_PowerBI cmanpowerbi@chememan.com · วันที่ = พุธ 9 ก.ย. 2026 · ชื่อ jakkaritw ไม่อยู่ทั้ง To/CC จึงต้องเปิดกล่อง cmanpowerbi หรือกล่องผู้รับ) — Wed 2:58 AM — ถูกตีกลับ (Data &amp; Analytic) → pornthipp · cc laddawank  (ฉบับที่เคสนี้ใช้; อย่าสับกับ Wed 3:12 AM ซึ่งเป็นของ UAT-41)</t>
        </is>
      </c>
      <c r="F52" s="55" t="inlineStr">
        <is>
          <t>ภาพอีเมลจาก jakkaritw 09/09 (ฉบับ 03:12 + รายการกล่องจดหมาย)</t>
        </is>
      </c>
    </row>
    <row r="53">
      <c r="A53" s="55" t="n">
        <v>49</v>
      </c>
      <c r="B53" s="55" t="inlineStr">
        <is>
          <t>UAT-50</t>
        </is>
      </c>
      <c r="C53" s="55" t="inlineStr">
        <is>
          <t>jakkaritw (เจ้าของระบบตัดสิน) — หลักฐานจอจาก AI, หลักฐานอีเมลจากภาพ</t>
        </is>
      </c>
      <c r="D53" s="55" t="inlineStr">
        <is>
          <t>Pass</t>
        </is>
      </c>
      <c r="E53" s="55" t="inlineStr">
        <is>
          <t>jakkaritw ตัดสิน 2026-09-09: รับสภาพ 'หน้าจออังกฤษ / อีเมลไทย' ได้ → Pass ไม่เปิดคำขอเปลี่ยนแปลง · 📧 อ้างอิงอีเมล (ทุกฉบับผู้ส่ง = CMAN_PowerBI cmanpowerbi@chememan.com · วันที่ = พุธ 9 ก.ย. 2026 · ชื่อ jakkaritw ไม่อยู่ทั้ง To/CC จึงต้องเปิดกล่อง cmanpowerbi หรือกล่องผู้รับ) — ใช้อีเมลฉบับใดก็ได้ข้างต้นเป็นตัวอย่าง — ประเด็นคือหัวข้อ/เนื้อหาเป็นภาษาไทยขณะหน้าจอเป็นอังกฤษ</t>
        </is>
      </c>
      <c r="F53" s="55" t="inlineStr">
        <is>
          <t>shots/UAT-38-rejected-by-laddawan.png, shots/UAT-40-step2-approved-by-nipaporn.png + ภาพอีเมลจาก jakkaritw 09/09</t>
        </is>
      </c>
    </row>
    <row r="54">
      <c r="A54" s="55" t="n">
        <v>50</v>
      </c>
      <c r="B54" s="55" t="inlineStr">
        <is>
          <t>UAT-47</t>
        </is>
      </c>
      <c r="C54" s="55" t="inlineStr">
        <is>
          <t>Laddawan → Nipaporn → Waraporn (impersonated) → กล่องจดหมาย 3 กล่อง (คนตรวจ)</t>
        </is>
      </c>
      <c r="D54" s="55" t="inlineStr">
        <is>
          <t>Pass</t>
        </is>
      </c>
      <c r="E54" s="55" t="inlineStr">
        <is>
          <t>คนตรวจ: (1) Nipaporn ได้ 'รอการอนุมัติ … Data &amp; Analytic … 2027' ~03:18 (และอีกฉบับ ~03:06 จากรอบก่อนตีกลับ) (2) Waraporn ได้ฉบับเดียว ~03:18-03:19 ไม่มีฉบับก่อนหน้า (3) Pornthip ได้ 'ได้รับการอนุมัติ … 2027' ฉบับเดียว ~03:21 cc laddawank + cmanpowerbi · ฉบับที่ (3) ใช้ต่อใน UAT-49 · ยังไม่มีหลักฐานเมลจริงสำหรับ 03:06 / 03:18 / 03:18–19 / 03:21 · [ตรวจอีเมล 09/09 บ่าย] หลักฐานจริงที่มี = ภาพหน้าจอ Outlook ของ jakkaritw เมื่อเช้า (เห็นเมล 02:36, 02:45, 02:49, 02:51, 02:58, 03:01) · เมลช่วง 03:06–03:21 ยังไม่มีใครเห็นจริง · การเข้า shared mailbox cmanpowerbi@chememan.com ผ่าน Claude ตอบ 404/FORBIDDEN = บัญชี jakkaritw ไม่มีสิทธิ์ Full Access ต้องขอจาก Exchange admin หรือให้เจ้าตัวเปิดกล่องเอง · รายงานจาก session อื่นที่สรุปว่า 'ผ่าน' เป็นการเทียบกับตารางคาดการณ์ ไม่ใช่หลักฐานจากกล่องจดหมาย จึงไม่เปลี่ยน Status · [ภาพอีเมลจริงจาก jakkaritw 09/09 ~16:00] เห็นครบทั้ง 3 แบบ: (1) 'รอการอนุมัติ' To Nipaporn Tongking Cc CMAN_PowerBI (2) 'รอการอนุมัติ' To Waraporn Tirasit Cc CMAN_PowerBI (3) 'ได้รับการอนุมัติ … 2027' To Pornthip Phermsaphiran Cc Laddawan Kearnoi; CMAN_PowerBI เนื้อความ 'งบประมาณของท่านได้รับการอนุมัติครบทุกขั้นแล้ว' สถานะ 'อนุมัติครบทุกขั้นแล้ว' (สีเขียว) ลิงก์ 'คลิกที่นี่เพื่อดูรายละเอียด' · ยังขาด: เวลาถึงของแต่ละฉบับ (ถูกตัดในภาพ) และการยืนยันว่าวราพรได้ 'ฉบับเดียว ไม่มีก่อนหน้า' ต้องดูจากรายการกล่องจดหมาย · [รายการกล่องจดหมาย CMAN_PowerBI (cc ทุกฉบับ) ภาพจาก jakkaritw 09/09 ~16:10] ไทม์ไลน์เมลจริง: 02:36 รอ D&amp;A · 02:45 รอ SD · 02:49 รอ SD · 02:51 ตีกลับ SD · 02:58 ตีกลับ D&amp;A · 03:01 รอ D&amp;A · 03:08 รอ D&amp;A · 03:12 ตีกลับ D&amp;A · 03:17 รอ D&amp;A · 03:18 รอ D&amp;A · 03:19 รอ D&amp;A · 03:22 ได้รับการอนุมัติ D&amp;A · 14:26 รอ SD · 14:27 ตีกลับ SD (retest) → เมล 'รอการอนุมัติ D&amp;A' มี 6 ฉบับพอดี = ลัดดาวัลย์ 3 (02:36, 03:01, 03:17) + นิภาพร 2 (03:08 หลังขั้น 1 อนุมัติ 03:06, 03:18 หลังขั้น 1 อนุมัติ 03:18) + วราพร 1 (03:19 หลังขั้น 2 อนุมัติ) — วราพรได้ฉบับเดียว ไม่มีฉบับก่อนหน้า = ไม่ส่งล่วงหน้า ไม่ข้ามขั้น · 'ได้รับการอนุมัติ' 03:22 ฉบับเดียว (กด 03:21) To พรทิพย์ cc ลัดดาวัลย์ + cmanpowerbi → ผ่านทั้ง 3 ข้อ · 📧 อ้างอิงอีเมล (ทุกฉบับผู้ส่ง = CMAN_PowerBI cmanpowerbi@chememan.com · วันที่ = พุธ 9 ก.ย. 2026 · ชื่อ jakkaritw ไม่อยู่ทั้ง To/CC จึงต้องเปิดกล่อง cmanpowerbi หรือกล่องผู้รับ) — Wed 3:18 AM — รอการอนุมัติ (หลังอนุมัติขั้น 1) → nipapornt · Wed 3:19 AM — รอการอนุมัติ (หลังอนุมัติขั้น 2) → warapornt · Wed 3:22 AM — ได้รับการอนุมัติ (ครบทุกขั้น) → pornthipp · cc laddawank, cmanpowerbi</t>
        </is>
      </c>
      <c r="F54" s="55" t="inlineStr">
        <is>
          <t>shots/UAT-47-step1-approved.png, shots/UAT-40-step2-approved-by-nipaporn.png, shots/UAT-40-step3-approved-final.png</t>
        </is>
      </c>
    </row>
    <row r="55">
      <c r="A55" s="55" t="n">
        <v>51</v>
      </c>
      <c r="B55" s="55" t="inlineStr">
        <is>
          <t>UAT-49</t>
        </is>
      </c>
      <c r="C55" s="55" t="inlineStr">
        <is>
          <t>Pornthip (impersonated) — เฉพาะข้อ 5 และ 8; ข้อ 1-4, 6, 7 และมือถือให้คนเปิดอีเมล</t>
        </is>
      </c>
      <c r="D55" s="55" t="inlineStr">
        <is>
          <t>Partial — ข้อ 1-6, 8 ผ่าน; เหลือข้อ 7 (Junk) และเปิดบนมือถือ</t>
        </is>
      </c>
      <c r="E55" s="55" t="inlineStr">
        <is>
          <t>คนตรวจฉบับ 'ได้รับการอนุมัติ … 2027' ที่ Pornthip ได้ ~03:21: To pornthipp / Cc laddawank + cmanpowerbi, สถานะ 'อนุมัติครบทุกขั้นแล้ว', Inbox ไม่ใช่ Junk, และเปิดบนมือถือ 1 ครั้ง (ข้อค้างจาก SIT) · ยังไม่มีหลักฐานเมลฉบับ 'ได้รับการอนุมัติ' 03:21 จริง (To/CC/เนื้อหา/Junk/มือถือ) · [ตรวจอีเมล 09/09 บ่าย] หลักฐานจริงที่มี = ภาพหน้าจอ Outlook ของ jakkaritw เมื่อเช้า (เห็นเมล 02:36, 02:45, 02:49, 02:51, 02:58, 03:01) · เมลช่วง 03:06–03:21 ยังไม่มีใครเห็นจริง · การเข้า shared mailbox cmanpowerbi@chememan.com ผ่าน Claude ตอบ 404/FORBIDDEN = บัญชี jakkaritw ไม่มีสิทธิ์ Full Access ต้องขอจาก Exchange admin หรือให้เจ้าตัวเปิดกล่องเอง · รายงานจาก session อื่นที่สรุปว่า 'ผ่าน' เป็นการเทียบกับตารางคาดการณ์ ไม่ใช่หลักฐานจากกล่องจดหมาย จึงไม่เปลี่ยน Status · [ภาพอีเมลจริงจาก jakkaritw 09/09 ~16:00] จากฉบับ 'ได้รับการอนุมัติ': ข้อ 1 ผู้ส่ง CMAN_PowerBI ✓ · ข้อ 2 To pornthipp, CC laddawank + cmanpowerbi ✓ · ข้อ 3 หัวข้อ 'ได้รับการอนุมัติ งบประมาณของฝ่าย Data &amp; Analytic ปีงบประมาณ 2027' ✓ · ข้อ 4 ฝ่าย / 2027 / 'อนุมัติครบทุกขั้นแล้ว' ✓ · ข้อ 6 อักษรไทยครบบนคอมพิวเตอร์ ✓ · ข้อ 8 '2027 (หน้าจอ: Year 2026)' ✓ · ข้อ 5 ลิงก์ทดสอบแล้วโดย AI ✓ · เหลือข้อ 7 (Inbox ไม่ตก Junk — ภาพเปิดจากกล่องจดหมายปกติ น่าจะผ่าน ให้เจ้าตัวยืนยัน) และเปิดบนมือถือ 1 ครั้ง · [รายการกล่องจดหมาย CMAN_PowerBI (cc ทุกฉบับ) ภาพจาก jakkaritw 09/09 ~16:10] ฉบับ 'ได้รับการอนุมัติ' อยู่ในรายการกล่องจดหมายปกติ 03:22 (Inbox ไม่ตก Junk สำหรับกล่อง cmanpowerbi) · ยังเหลือเปิดบนมือถือ 1 ครั้ง และยืนยัน Inbox ของพรทิพย์เอง · 📧 อ้างอิงอีเมล (ทุกฉบับผู้ส่ง = CMAN_PowerBI cmanpowerbi@chememan.com · วันที่ = พุธ 9 ก.ย. 2026 · ชื่อ jakkaritw ไม่อยู่ทั้ง To/CC จึงต้องเปิดกล่อง cmanpowerbi หรือกล่องผู้รับ) — Wed 3:22 AM — ได้รับการอนุมัติ (Data &amp; Analytic) → pornthipp · cc laddawank, cmanpowerbi  (ฉบับที่เคสนี้ใช้)</t>
        </is>
      </c>
      <c r="F55" s="55" t="inlineStr">
        <is>
          <t>shots/UAT-49-deeplink-landing.png</t>
        </is>
      </c>
    </row>
    <row r="56">
      <c r="A56" s="55" t="n">
        <v>52</v>
      </c>
      <c r="B56" s="55" t="inlineStr">
        <is>
          <t>UAT-51</t>
        </is>
      </c>
      <c r="C56" s="55" t="inlineStr">
        <is>
          <t>Pornthip (impersonated) — Edge (Edg/152) และ Chromium (Chrome/148), 1920×1080 และ 1366×768</t>
        </is>
      </c>
      <c r="D56" s="55" t="inlineStr">
        <is>
          <t>Pass</t>
        </is>
      </c>
      <c r="E56" s="55" t="inlineStr">
        <is>
          <t>AI ไม่ตัดสินเรื่องสายตา · ข้อเสนอ (ไม่บล็อก): ยกสีเทารอง #727781 ให้เข้มขึ้นอีกนิดให้ถึง 4.5 และเพิ่มน้ำหนักปุ่มล็อก 🔒 ถ้าอยากให้อ่านง่ายขึ้น — เป็นงานปรับสีเล็ก ไม่กระทบข้อมูล · ยอดหลักล้าน (3,333,300) ไม่มีในข้อมูลรอบนี้ ถ้าจะพิสูจน์ข้อ 7 เต็มต้องพิมพ์ในฝ่ายที่ยังแก้ได้ · ผู้ทดสอบดูภาพแล้วติ๊ก Pass ได้ถ้าอ่านออกชัด · jakkaritw ตัดสิน 2026-09-09: รับได้ → Pass</t>
        </is>
      </c>
      <c r="F56" s="55" t="inlineStr">
        <is>
          <t>shots/UAT-51_edge_1920x1080_grid.png, shots/UAT-51_edge_1366x768_grid.png, shots/UAT-51_edge_1920x1080_subform.png, shots/UAT-51_edge_1920x1080_trip.png, shots/UAT-51_edge_1920x1080_attachments.png, shots/UAT-51_chromium_1920x1080_grid.png, shots/UAT-51_chromium_1366x768_grid.png, uat51_out_edge.json, uat51_out_chromium.json</t>
        </is>
      </c>
    </row>
    <row r="57">
      <c r="A57" s="55" t="n">
        <v>53</v>
      </c>
      <c r="B57" s="55" t="inlineStr">
        <is>
          <t>UAT-04</t>
        </is>
      </c>
      <c r="C57" s="55" t="inlineStr">
        <is>
          <t>Pornthip (impersonated; บัญชีจริงที่ล็อกอิน = jakkaritw)</t>
        </is>
      </c>
      <c r="D57" s="55" t="inlineStr">
        <is>
          <t>Pass</t>
        </is>
      </c>
      <c r="E57" s="55" t="inlineStr">
        <is>
          <t>ผ่านข้อ 1-3: session ของแอปถูกตัดทันทีตั้งแต่กดออก (ก่อนเลือกบัญชีในหน้า Microsoft) กด Back ไม่เห็นข้อมูลเดิม ถูกบังคับล็อกอินใหม่ · ข้อสังเกต 2 จุด: (ก) กล่องที่เห็นใช้ข้อความ 'หมดเวลาการเข้าใช้งาน … 14 ชั่วโมง' ทั้งที่ผู้ใช้เพิ่งกดออกเอง — ความหมายไม่ตรงเหตุการณ์ (ข) ตัวเลข '14 ชั่วโมง' เขียนตายตัวในข้อความ ขณะที่รอบ UAT ตั้งอายุ session ไว้ 1 ชั่วโมง → คนทำ UAT-05 จะเห็น '14 ชั่วโมง' ทั้งที่หมดเวลาจริงตอน 1 ชั่วโมง ควรอ่านค่าจากการตั้งค่า · jakkaritw ตัดสิน 2026-09-09: ข้อความ 'หมดเวลา … 14 ชั่วโมง' ตอนกดออกจากระบบ ยอมรับได้ ไม่เปิด defect</t>
        </is>
      </c>
      <c r="F57" s="55" t="inlineStr">
        <is>
          <t>shots/UAT-04-after-logout.png, shots/UAT-04-after-back.png</t>
        </is>
      </c>
    </row>
    <row r="58">
      <c r="A58" s="55" t="n">
        <v>54</v>
      </c>
      <c r="B58" s="55" t="inlineStr">
        <is>
          <t>UAT-05</t>
        </is>
      </c>
      <c r="C58" s="55" t="inlineStr">
        <is>
          <t>Pornthip (impersonated) — AI เฝ้าจนหมดอายุ; login จริงโดย jakkaritw</t>
        </is>
      </c>
      <c r="D58" s="55" t="inlineStr">
        <is>
          <t>Pass</t>
        </is>
      </c>
      <c r="E58" s="55" t="inlineStr">
        <is>
          <t>ผ่านทุกข้อ (1-4 ตาม Expected) · ข้อสังเกตที่รับไว้แล้วใน UAT-04: ข้อความในกล่องบอก '14 ชั่วโมง' ตายตัว ทั้งที่รอบนี้หมดอายุจริงที่ ~1 ชั่วโมง · ข้อ 9 ในเครื่องผู้ทดสอบจริงอาจเห็นหน้ากรอกรหัสของ Microsoft แทน SSO อัตโนมัติ — ปลายทางเดียวกัน · ข้อ 11 (คืนอายุ session เป็น 14 ชั่วโมง) อยู่ใน tracker uat-post-run-reset</t>
        </is>
      </c>
      <c r="F58" s="55" t="inlineStr">
        <is>
          <t>shots/UAT-05_typed_200_no_blur.png, shots/UAT-05_dialog.png, shots/UAT-05_dialog_after_esc_click.png, shots/UAT-05_dialog_before_relogin_click.png, shots/UAT-05_after_relogin_same_dept_year.png, uat05_out.json (ไทม์ไลน์นาทีต่อนาที)</t>
        </is>
      </c>
    </row>
    <row r="60">
      <c r="A60" s="56" t="inlineStr">
        <is>
          <t>สรุป</t>
        </is>
      </c>
    </row>
    <row r="61">
      <c r="A61" t="inlineStr">
        <is>
          <t>Pass</t>
        </is>
      </c>
      <c r="B61" t="n">
        <v>53</v>
      </c>
    </row>
    <row r="62">
      <c r="A62" t="inlineStr">
        <is>
          <t>Human decides / not run</t>
        </is>
      </c>
      <c r="B62" t="n">
        <v>1</v>
      </c>
    </row>
    <row r="63">
      <c r="A63" t="inlineStr">
        <is>
          <t>ไม่ได้รันโดย AI (ไม่มีแถว)</t>
        </is>
      </c>
      <c r="B63" t="n">
        <v>0</v>
      </c>
    </row>
    <row r="65">
      <c r="A65" s="56" t="inlineStr">
        <is>
          <t>งานที่คนต้องทำต่อ</t>
        </is>
      </c>
    </row>
    <row r="66">
      <c r="A66" t="inlineStr">
        <is>
          <t>UAT-49</t>
        </is>
      </c>
      <c r="B66" s="55" t="inlineStr">
        <is>
          <t>เหลืออย่างเดียว: เปิดอีเมล 'ได้รับการอนุมัติ' (03:22) บนมือถือ 1 ครั้ง แล้วยืนยันว่าอักษรไทยไม่เพี้ยนและอยู่ Inbox ของพรทิพย์ — ข้ออื่นทั้งหมด AI ตรวจแล้วผ่าน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Data and Analytics team — Chememan PCL</dc:creator>
  <dc:title xmlns:dc="http://purl.org/dc/elements/1.1/">Budget Web App — UAT Test Cases (Round 1, FY2027)</dc:title>
  <dc:subject xmlns:dc="http://purl.org/dc/elements/1.1/">User Acceptance Test</dc:subject>
  <dcterms:created xmlns:dcterms="http://purl.org/dc/terms/" xmlns:xsi="http://www.w3.org/2001/XMLSchema-instance" xsi:type="dcterms:W3CDTF">2026-09-07T00:00:00Z</dcterms:created>
  <dcterms:modified xmlns:dcterms="http://purl.org/dc/terms/" xmlns:xsi="http://www.w3.org/2001/XMLSchema-instance" xsi:type="dcterms:W3CDTF">2026-09-09T17:10:36Z</dcterms:modified>
  <cp:lastModifiedBy>build_uat_test_cases.py</cp:lastModifiedBy>
</cp:coreProperties>
</file>