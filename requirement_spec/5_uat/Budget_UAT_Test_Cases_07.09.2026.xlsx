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9">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s>
  <fills count="10">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s>
  <borders count="3">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1" t="inlineStr">
        <is>
          <t>Budget Web Application — UAT Test Cases</t>
        </is>
      </c>
      <c r="B1" s="2" t="n"/>
    </row>
    <row r="2" ht="13.5" customHeight="1">
      <c r="A2" s="3" t="inlineStr">
        <is>
          <t>Chememan PCL (CMAN)  |  User Acceptance Testing (UAT)  |  Data &amp; Analytics  |  Round 1  |  FY2027</t>
        </is>
      </c>
      <c r="B2" s="4" t="n"/>
    </row>
    <row r="3" ht="6" customHeight="1"/>
    <row r="4" ht="19.5" customHeight="1">
      <c r="A4" s="5" t="inlineStr">
        <is>
          <t>Project Information</t>
        </is>
      </c>
      <c r="B4" s="4"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 t="inlineStr">
        <is>
          <t>ข้อควรระวังก่อนเริ่มทดสอบ</t>
        </is>
      </c>
      <c r="B21" s="4" t="n"/>
    </row>
    <row r="22" ht="30" customHeight="1">
      <c r="A22" s="8"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9" t="n"/>
    </row>
    <row r="23" ht="56" customHeight="1">
      <c r="A23" s="8"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9" t="n"/>
    </row>
    <row r="24" ht="30" customHeight="1">
      <c r="A24" s="8"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9" t="n"/>
    </row>
    <row r="25" ht="30" customHeight="1">
      <c r="A25" s="8"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9" t="n"/>
    </row>
    <row r="26" ht="56" customHeight="1">
      <c r="A26" s="8"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9" t="n"/>
    </row>
    <row r="27" ht="56" customHeight="1">
      <c r="A27" s="8"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9" t="n"/>
    </row>
    <row r="29" ht="19.5" customHeight="1">
      <c r="A29" s="5" t="inlineStr">
        <is>
          <t>วิธีใช้ไฟล์นี้ / How to use this workbook</t>
        </is>
      </c>
      <c r="B29" s="4" t="n"/>
    </row>
    <row r="30" ht="56" customHeight="1">
      <c r="A30" s="8"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9" t="n"/>
    </row>
    <row r="31" ht="28" customHeight="1">
      <c r="A31" s="8" t="inlineStr">
        <is>
          <t>2.  วิธีเรียง: คลิกลูกศรกรองบนหัวคอลัมน์ `ลำดับการรัน` แล้วเลือก “Sort Smallest to Largest” จากนั้นไล่ทำจากบนลงล่าง</t>
        </is>
      </c>
      <c r="B31" s="9" t="n"/>
    </row>
    <row r="32" ht="42" customHeight="1">
      <c r="A32" s="8"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9" t="n"/>
    </row>
    <row r="33" ht="16.5" customHeight="1">
      <c r="A33" s="8" t="inlineStr">
        <is>
          <t>4.  ทดสอบทีละเคสตาม “Test Steps” แล้วเทียบผลกับ “Expected Result”</t>
        </is>
      </c>
      <c r="B33" s="9" t="n"/>
    </row>
    <row r="34" ht="28" customHeight="1">
      <c r="A34" s="8"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9" t="n"/>
    </row>
    <row r="35" ht="56" customHeight="1">
      <c r="A35" s="8"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9" t="n"/>
    </row>
    <row r="36" ht="28" customHeight="1">
      <c r="A36" s="8"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9" t="n"/>
    </row>
    <row r="37" ht="42" customHeight="1">
      <c r="A37" s="8"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9" t="n"/>
    </row>
    <row r="38" ht="16.5" customHeight="1">
      <c r="A38" s="8" t="inlineStr">
        <is>
          <t>9.  แท็บ “3. Summary” สรุปผลอัตโนมัติ (จำนวน / อัตราผ่าน / แยกตาม Module, Wave และฝ่าย) ไม่ต้องกรอกเอง</t>
        </is>
      </c>
      <c r="B38" s="9" t="n"/>
    </row>
    <row r="39" ht="42" customHeight="1">
      <c r="A39" s="8"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9" t="n"/>
    </row>
    <row r="40" ht="42" customHeight="1">
      <c r="A40" s="8"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9" t="n"/>
    </row>
    <row r="41" ht="28" customHeight="1">
      <c r="A41" s="8"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9" t="n"/>
    </row>
    <row r="43" ht="19.5" customHeight="1">
      <c r="A43" s="5" t="inlineStr">
        <is>
          <t>ตัวอย่างการกรอก 1 แถว (worked example)</t>
        </is>
      </c>
      <c r="B43" s="4" t="n"/>
    </row>
    <row r="44" ht="16.5" customHeight="1">
      <c r="A44" s="8" t="inlineStr">
        <is>
          <t>เคสตัวอย่าง UAT-09 (ระลอก W2) — “กรอกยอดแล้วคลิกออกจากช่อง = บันทึกอัตโนมัติ · refresh หน้าแล้วค่ายังอยู่”</t>
        </is>
      </c>
      <c r="B44" s="9" t="n"/>
    </row>
    <row r="45" ht="42" customHeight="1">
      <c r="A45" s="8"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9" t="n"/>
    </row>
    <row r="46" ht="28" customHeight="1">
      <c r="A46" s="8"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9" t="n"/>
    </row>
    <row r="47" ht="28" customHeight="1">
      <c r="A47" s="8"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9" t="n"/>
    </row>
    <row r="49" ht="19.5" customHeight="1">
      <c r="A49" s="5" t="inlineStr">
        <is>
          <t>Legend / คำอธิบายสี &amp; สถานะ</t>
        </is>
      </c>
      <c r="B49" s="4"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15"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9"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16" t="inlineStr">
        <is>
          <t>Budget Web App — UAT Test Cases (Round 1 · FY2027 · production)</t>
        </is>
      </c>
      <c r="B1" s="2" t="n"/>
      <c r="C1" s="2" t="n"/>
      <c r="D1" s="2" t="n"/>
      <c r="E1" s="2" t="n"/>
      <c r="F1" s="2" t="n"/>
      <c r="G1" s="2" t="n"/>
      <c r="H1" s="2" t="n"/>
      <c r="I1" s="2" t="n"/>
      <c r="J1" s="2" t="n"/>
      <c r="K1" s="2" t="n"/>
      <c r="L1" s="2" t="n"/>
      <c r="M1" s="2" t="n"/>
      <c r="N1" s="2" t="n"/>
      <c r="O1" s="2" t="n"/>
      <c r="P1" s="2" t="n"/>
      <c r="Q1" s="2" t="n"/>
      <c r="R1" s="2" t="n"/>
      <c r="S1" s="2" t="n"/>
      <c r="T1" s="2"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21" t="n"/>
      <c r="O3" s="21" t="n"/>
      <c r="P3" s="22" t="n"/>
      <c r="Q3" s="22" t="n"/>
      <c r="R3" s="23" t="inlineStr">
        <is>
          <t>Pornthip</t>
        </is>
      </c>
      <c r="S3" s="24" t="n"/>
      <c r="T3" s="21" t="n"/>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21" t="n"/>
      <c r="O4" s="21" t="n"/>
      <c r="P4" s="22" t="n"/>
      <c r="Q4" s="22" t="n"/>
      <c r="R4" s="23" t="inlineStr">
        <is>
          <t>Pornthip</t>
        </is>
      </c>
      <c r="S4" s="24" t="n"/>
      <c r="T4" s="21" t="n"/>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21" t="n"/>
      <c r="O5" s="21" t="n"/>
      <c r="P5" s="22" t="n"/>
      <c r="Q5" s="22" t="n"/>
      <c r="R5" s="23" t="inlineStr">
        <is>
          <t>Laddawan</t>
        </is>
      </c>
      <c r="S5" s="24" t="n"/>
      <c r="T5" s="21" t="n"/>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21" t="n"/>
      <c r="O6" s="21" t="n"/>
      <c r="P6" s="22" t="n"/>
      <c r="Q6" s="22" t="n"/>
      <c r="R6" s="23" t="inlineStr">
        <is>
          <t>ไม่ระบุชื่อในเคส (ต่อจากเคสก่อนหน้า น่าจะเป็น Pornthip)</t>
        </is>
      </c>
      <c r="S6" s="24" t="n"/>
      <c r="T6" s="21" t="n"/>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21" t="n"/>
      <c r="O7" s="21" t="n"/>
      <c r="P7" s="22" t="n"/>
      <c r="Q7" s="22" t="n"/>
      <c r="R7" s="23" t="inlineStr">
        <is>
          <t>ไม่ระบุชื่อในเคส (แนะนำ Pornthip เพราะฝ่ายเธอยังแก้ไขได้)</t>
        </is>
      </c>
      <c r="S7" s="24" t="n"/>
      <c r="T7" s="21" t="n"/>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21" t="n"/>
      <c r="O8" s="21" t="n"/>
      <c r="P8" s="22" t="n"/>
      <c r="Q8" s="22" t="n"/>
      <c r="R8" s="23" t="inlineStr">
        <is>
          <t>Pornthip</t>
        </is>
      </c>
      <c r="S8" s="24" t="n"/>
      <c r="T8" s="21" t="n"/>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21" t="n"/>
      <c r="O9" s="21" t="n"/>
      <c r="P9" s="22" t="n"/>
      <c r="Q9" s="22" t="n"/>
      <c r="R9" s="23" t="inlineStr">
        <is>
          <t>Pornthip</t>
        </is>
      </c>
      <c r="S9" s="24" t="n"/>
      <c r="T9" s="21" t="n"/>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21" t="n"/>
      <c r="O10" s="21" t="n"/>
      <c r="P10" s="22" t="n"/>
      <c r="Q10" s="22" t="n"/>
      <c r="R10" s="23" t="inlineStr">
        <is>
          <t>Pornthip</t>
        </is>
      </c>
      <c r="S10" s="24" t="n"/>
      <c r="T10" s="21" t="n"/>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21" t="n"/>
      <c r="O11" s="21" t="n"/>
      <c r="P11" s="22" t="n"/>
      <c r="Q11" s="22" t="n"/>
      <c r="R11" s="23" t="inlineStr">
        <is>
          <t>Pornthip</t>
        </is>
      </c>
      <c r="S11" s="24" t="n"/>
      <c r="T11" s="21" t="n"/>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21" t="n"/>
      <c r="O12" s="21" t="n"/>
      <c r="P12" s="22" t="n"/>
      <c r="Q12" s="22" t="n"/>
      <c r="R12" s="23" t="inlineStr">
        <is>
          <t>Pornthip</t>
        </is>
      </c>
      <c r="S12" s="24" t="n"/>
      <c r="T12" s="21" t="n"/>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21" t="n"/>
      <c r="O13" s="21" t="n"/>
      <c r="P13" s="22" t="n"/>
      <c r="Q13" s="22" t="n"/>
      <c r="R13" s="23" t="inlineStr">
        <is>
          <t>Pornthip</t>
        </is>
      </c>
      <c r="S13" s="24" t="n"/>
      <c r="T13" s="21" t="n"/>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21" t="n"/>
      <c r="O14" s="21" t="n"/>
      <c r="P14" s="22" t="n"/>
      <c r="Q14" s="22" t="n"/>
      <c r="R14" s="23" t="inlineStr">
        <is>
          <t>Pornthip</t>
        </is>
      </c>
      <c r="S14" s="24" t="n"/>
      <c r="T14" s="21" t="n"/>
    </row>
    <row r="15" ht="204"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และ `กรุณาเลือก GL Code` ตรงช่องที่ขาดอย่างชัดเจน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21" t="n"/>
      <c r="O15" s="21" t="n"/>
      <c r="P15" s="22" t="n"/>
      <c r="Q15" s="22" t="n"/>
      <c r="R15" s="23" t="inlineStr">
        <is>
          <t>Pornthip</t>
        </is>
      </c>
      <c r="S15" s="24" t="n"/>
      <c r="T15" s="21" t="n"/>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21" t="n"/>
      <c r="O16" s="21" t="n"/>
      <c r="P16" s="22" t="n"/>
      <c r="Q16" s="22" t="n"/>
      <c r="R16" s="23" t="inlineStr">
        <is>
          <t>Pornthip</t>
        </is>
      </c>
      <c r="S16" s="24" t="n"/>
      <c r="T16" s="21" t="n"/>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21" t="n"/>
      <c r="O17" s="21" t="n"/>
      <c r="P17" s="22" t="n"/>
      <c r="Q17" s="22" t="n"/>
      <c r="R17" s="23" t="inlineStr">
        <is>
          <t>Nipaporn หรือ Waraporn</t>
        </is>
      </c>
      <c r="S17" s="24" t="n"/>
      <c r="T17" s="21" t="n"/>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21" t="n"/>
      <c r="O18" s="21" t="n"/>
      <c r="P18" s="22" t="n"/>
      <c r="Q18" s="22" t="n"/>
      <c r="R18" s="23" t="inlineStr">
        <is>
          <t>Pornthip</t>
        </is>
      </c>
      <c r="S18" s="24" t="n"/>
      <c r="T18" s="21" t="n"/>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21" t="n"/>
      <c r="O19" s="21" t="n"/>
      <c r="P19" s="22" t="n"/>
      <c r="Q19" s="22" t="n"/>
      <c r="R19" s="23" t="inlineStr">
        <is>
          <t>Pornthip</t>
        </is>
      </c>
      <c r="S19" s="24" t="n"/>
      <c r="T19" s="21" t="n"/>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21" t="n"/>
      <c r="O20" s="21" t="n"/>
      <c r="P20" s="22" t="n"/>
      <c r="Q20" s="22" t="n"/>
      <c r="R20" s="23" t="inlineStr">
        <is>
          <t>Pornthip</t>
        </is>
      </c>
      <c r="S20" s="24" t="n"/>
      <c r="T20" s="21" t="n"/>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21" t="n"/>
      <c r="O21" s="21" t="n"/>
      <c r="P21" s="22" t="n"/>
      <c r="Q21" s="22" t="n"/>
      <c r="R21" s="23" t="inlineStr">
        <is>
          <t>Pornthip</t>
        </is>
      </c>
      <c r="S21" s="24" t="n"/>
      <c r="T21" s="21" t="n"/>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21" t="n"/>
      <c r="O22" s="21" t="n"/>
      <c r="P22" s="22" t="n"/>
      <c r="Q22" s="22" t="n"/>
      <c r="R22" s="23" t="inlineStr">
        <is>
          <t>Pornthip</t>
        </is>
      </c>
      <c r="S22" s="24" t="n"/>
      <c r="T22" s="21" t="n"/>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21" t="n"/>
      <c r="O23" s="21" t="n"/>
      <c r="P23" s="22" t="n"/>
      <c r="Q23" s="22" t="n"/>
      <c r="R23" s="23" t="inlineStr">
        <is>
          <t>Pornthip</t>
        </is>
      </c>
      <c r="S23" s="24" t="n"/>
      <c r="T23" s="21" t="n"/>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21" t="n"/>
      <c r="O24" s="21" t="n"/>
      <c r="P24" s="22" t="n"/>
      <c r="Q24" s="22" t="n"/>
      <c r="R24" s="23" t="inlineStr">
        <is>
          <t>Pornthip</t>
        </is>
      </c>
      <c r="S24" s="24" t="n"/>
      <c r="T24" s="21" t="n"/>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21" t="n"/>
      <c r="O25" s="21" t="n"/>
      <c r="P25" s="22" t="n"/>
      <c r="Q25" s="22" t="n"/>
      <c r="R25" s="23" t="inlineStr">
        <is>
          <t>Pornthip</t>
        </is>
      </c>
      <c r="S25" s="24" t="n"/>
      <c r="T25" s="21" t="n"/>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21" t="n"/>
      <c r="O26" s="21" t="n"/>
      <c r="P26" s="22" t="n"/>
      <c r="Q26" s="22" t="n"/>
      <c r="R26" s="23" t="inlineStr">
        <is>
          <t>Pornthip</t>
        </is>
      </c>
      <c r="S26" s="24" t="n"/>
      <c r="T26" s="21" t="n"/>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21" t="n"/>
      <c r="O27" s="21" t="n"/>
      <c r="P27" s="22" t="n"/>
      <c r="Q27" s="22" t="n"/>
      <c r="R27" s="23" t="inlineStr">
        <is>
          <t>Pornthip</t>
        </is>
      </c>
      <c r="S27" s="24" t="n"/>
      <c r="T27" s="21" t="n"/>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21" t="n"/>
      <c r="O28" s="21" t="n"/>
      <c r="P28" s="22" t="n"/>
      <c r="Q28" s="22" t="n"/>
      <c r="R28" s="23" t="inlineStr">
        <is>
          <t>Pornthip</t>
        </is>
      </c>
      <c r="S28" s="24" t="n"/>
      <c r="T28" s="21" t="n"/>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21" t="n"/>
      <c r="O29" s="21" t="n"/>
      <c r="P29" s="22" t="n"/>
      <c r="Q29" s="22" t="n"/>
      <c r="R29" s="23" t="inlineStr">
        <is>
          <t>Pornthip</t>
        </is>
      </c>
      <c r="S29" s="24" t="n"/>
      <c r="T29" s="21" t="n"/>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21" t="n"/>
      <c r="O30" s="21" t="n"/>
      <c r="P30" s="22" t="n"/>
      <c r="Q30" s="22" t="n"/>
      <c r="R30" s="23" t="inlineStr">
        <is>
          <t>Pornthip</t>
        </is>
      </c>
      <c r="S30" s="24" t="n"/>
      <c r="T30" s="21" t="n"/>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21" t="n"/>
      <c r="O31" s="21" t="n"/>
      <c r="P31" s="22" t="n"/>
      <c r="Q31" s="22" t="n"/>
      <c r="R31" s="23" t="inlineStr">
        <is>
          <t>Pornthip</t>
        </is>
      </c>
      <c r="S31" s="24" t="n"/>
      <c r="T31" s="21" t="n"/>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21" t="n"/>
      <c r="O32" s="21" t="n"/>
      <c r="P32" s="22" t="n"/>
      <c r="Q32" s="22" t="n"/>
      <c r="R32" s="23" t="inlineStr">
        <is>
          <t>Pornthip</t>
        </is>
      </c>
      <c r="S32" s="24" t="n"/>
      <c r="T32" s="21" t="n"/>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21" t="n"/>
      <c r="O33" s="21" t="n"/>
      <c r="P33" s="22" t="n"/>
      <c r="Q33" s="22" t="n"/>
      <c r="R33" s="23" t="inlineStr">
        <is>
          <t>Arthid(jakkarit)</t>
        </is>
      </c>
      <c r="S33" s="24" t="n"/>
      <c r="T33" s="21" t="n"/>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21" t="n"/>
      <c r="O34" s="21" t="n"/>
      <c r="P34" s="22" t="n"/>
      <c r="Q34" s="22" t="n"/>
      <c r="R34" s="23" t="inlineStr">
        <is>
          <t>Pornthip</t>
        </is>
      </c>
      <c r="S34" s="24" t="n"/>
      <c r="T34" s="21" t="n"/>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21" t="n"/>
      <c r="O35" s="21" t="n"/>
      <c r="P35" s="22" t="n"/>
      <c r="Q35" s="22" t="n"/>
      <c r="R35" s="23" t="inlineStr">
        <is>
          <t>Pornthip → Laddawan</t>
        </is>
      </c>
      <c r="S35" s="24" t="n"/>
      <c r="T35" s="21" t="n"/>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21" t="n"/>
      <c r="O36" s="21" t="n"/>
      <c r="P36" s="22" t="n"/>
      <c r="Q36" s="22" t="n"/>
      <c r="R36" s="23" t="inlineStr">
        <is>
          <t>Pornthip</t>
        </is>
      </c>
      <c r="S36" s="24" t="n"/>
      <c r="T36" s="21" t="n"/>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21" t="n"/>
      <c r="O37" s="21" t="n"/>
      <c r="P37" s="22" t="n"/>
      <c r="Q37" s="22" t="n"/>
      <c r="R37" s="23" t="inlineStr">
        <is>
          <t>Pornthip</t>
        </is>
      </c>
      <c r="S37" s="24" t="n"/>
      <c r="T37" s="21" t="n"/>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21" t="n"/>
      <c r="O38" s="21" t="n"/>
      <c r="P38" s="22" t="n"/>
      <c r="Q38" s="22" t="n"/>
      <c r="R38" s="23" t="inlineStr">
        <is>
          <t>Pornthip → Laddawan (ไม่บังคับ)</t>
        </is>
      </c>
      <c r="S38" s="24" t="n"/>
      <c r="T38" s="21" t="n"/>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21" t="n"/>
      <c r="O39" s="21" t="n"/>
      <c r="P39" s="22" t="n"/>
      <c r="Q39" s="22" t="n"/>
      <c r="R39" s="23" t="inlineStr">
        <is>
          <t>Laddawan</t>
        </is>
      </c>
      <c r="S39" s="24" t="n"/>
      <c r="T39" s="21" t="n"/>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21" t="n"/>
      <c r="O40" s="21" t="n"/>
      <c r="P40" s="22" t="n"/>
      <c r="Q40" s="22" t="n"/>
      <c r="R40" s="23" t="inlineStr">
        <is>
          <t>Laddawan</t>
        </is>
      </c>
      <c r="S40" s="24" t="n"/>
      <c r="T40" s="21" t="n"/>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21" t="n"/>
      <c r="O41" s="21" t="n"/>
      <c r="P41" s="22" t="n"/>
      <c r="Q41" s="22" t="n"/>
      <c r="R41" s="23" t="inlineStr">
        <is>
          <t>Pornthip</t>
        </is>
      </c>
      <c r="S41" s="24" t="n"/>
      <c r="T41" s="21" t="n"/>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21" t="n"/>
      <c r="O42" s="21" t="n"/>
      <c r="P42" s="22" t="n"/>
      <c r="Q42" s="22" t="n"/>
      <c r="R42" s="23" t="inlineStr">
        <is>
          <t>Laddawan → Nipaporn → Waraporn → Pornthip</t>
        </is>
      </c>
      <c r="S42" s="24" t="n"/>
      <c r="T42" s="21" t="n"/>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21" t="n"/>
      <c r="O43" s="21" t="n"/>
      <c r="P43" s="22" t="n"/>
      <c r="Q43" s="22" t="n"/>
      <c r="R43" s="23" t="inlineStr">
        <is>
          <t>Nipaporn หรือ Waraporn → Pornthip</t>
        </is>
      </c>
      <c r="S43" s="24" t="n"/>
      <c r="T43" s="21" t="n"/>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21" t="n"/>
      <c r="O44" s="21" t="n"/>
      <c r="P44" s="22" t="n"/>
      <c r="Q44" s="22" t="n"/>
      <c r="R44" s="23" t="inlineStr">
        <is>
          <t>Waraporn → Laddawan</t>
        </is>
      </c>
      <c r="S44" s="24" t="n"/>
      <c r="T44" s="21" t="n"/>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21" t="n"/>
      <c r="O45" s="21" t="n"/>
      <c r="P45" s="22" t="n"/>
      <c r="Q45" s="22" t="n"/>
      <c r="R45" s="23" t="inlineStr">
        <is>
          <t>Laddawan → Nipaporn → Suchanya(jakkarit) (ไม่บังคับ)</t>
        </is>
      </c>
      <c r="S45" s="24" t="n"/>
      <c r="T45" s="21" t="n"/>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21" t="n"/>
      <c r="O47" s="21" t="n"/>
      <c r="P47" s="22" t="n"/>
      <c r="Q47" s="22" t="n"/>
      <c r="R47" s="23" t="inlineStr">
        <is>
          <t>Nipaporn หรือ Waraporn</t>
        </is>
      </c>
      <c r="S47" s="24" t="n"/>
      <c r="T47" s="21" t="n"/>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21" t="n"/>
      <c r="O48" s="21" t="n"/>
      <c r="P48" s="22" t="n"/>
      <c r="Q48" s="22" t="n"/>
      <c r="R48" s="23" t="inlineStr">
        <is>
          <t>Pornthip → Laddawan</t>
        </is>
      </c>
      <c r="S48" s="24" t="n"/>
      <c r="T48" s="21" t="n"/>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21" t="n"/>
      <c r="O49" s="21" t="n"/>
      <c r="P49" s="22" t="n"/>
      <c r="Q49" s="22" t="n"/>
      <c r="R49" s="23" t="inlineStr">
        <is>
          <t>Laddawan → Nipaporn → Waraporn → Pornthip</t>
        </is>
      </c>
      <c r="S49" s="24" t="n"/>
      <c r="T49" s="21" t="n"/>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21" t="n"/>
      <c r="O51" s="21" t="n"/>
      <c r="P51" s="22" t="n"/>
      <c r="Q51" s="22" t="n"/>
      <c r="R51" s="23" t="inlineStr">
        <is>
          <t>Pornthip</t>
        </is>
      </c>
      <c r="S51" s="24" t="n"/>
      <c r="T51" s="21" t="n"/>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21" t="n"/>
      <c r="O53" s="21" t="n"/>
      <c r="P53" s="22" t="n"/>
      <c r="Q53" s="22" t="n"/>
      <c r="R53" s="23" t="inlineStr">
        <is>
          <t>Pornthip → Laddawan</t>
        </is>
      </c>
      <c r="S53" s="24" t="n"/>
      <c r="T53" s="21" t="n"/>
    </row>
    <row r="54" ht="588"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(ตรวจตอนฝ่ายยังเป็น `Draft — not submitted` — **ทำทันทีหลัง UAT-26 ก่อนเริ่ม UAT-32** ตาม Test Steps ข้อ 2 แล้วกลับมาบันทึกผลที่เคสนี้) การกรอกจำนวนวันเดินทางเป็นค่าติดลบ ถูกปฏิเสธพร้อมข้อความภาษาไทยที่บอกสาเหตุและบอกว่าต้องกรอกอย่างไรจึงจะถูกต้อง · อย่าเพิ่งตัดสิน Pass/Fail เคสนี้จนกว่าจะทำข้อ 2 เสร็จ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21" t="n"/>
      <c r="O54" s="21" t="n"/>
      <c r="P54" s="22" t="n"/>
      <c r="Q54" s="22" t="n"/>
      <c r="R54" s="23" t="inlineStr">
        <is>
          <t>Pornthip</t>
        </is>
      </c>
      <c r="S54" s="24" t="n"/>
      <c r="T54" s="21" t="n"/>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21" t="n"/>
      <c r="O55" s="21" t="n"/>
      <c r="P55" s="22" t="n"/>
      <c r="Q55" s="22" t="n"/>
      <c r="R55" s="23" t="inlineStr">
        <is>
          <t>ไม่ระบุชื่อในเคส (ต้องเป็น Filler ของ Cost Center นั้น = Pornthip)</t>
        </is>
      </c>
      <c r="S55" s="24" t="n"/>
      <c r="T55" s="21" t="n"/>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21" t="n"/>
      <c r="O56" s="21" t="n"/>
      <c r="P56" s="22" t="n"/>
      <c r="Q56" s="22" t="n"/>
      <c r="R56" s="23" t="inlineStr">
        <is>
          <t>Pornthip</t>
        </is>
      </c>
      <c r="S56" s="24" t="n"/>
      <c r="T56" s="21" t="n"/>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25" t="inlineStr">
        <is>
          <t>UAT Test Execution — Summary  ·  Round 1  ·  FY2027</t>
        </is>
      </c>
      <c r="C2" s="2" t="n"/>
      <c r="D2" s="2" t="n"/>
      <c r="E2" s="2" t="n"/>
      <c r="F2" s="2" t="n"/>
      <c r="G2" s="2" t="n"/>
      <c r="H2" s="2" t="n"/>
      <c r="I2" s="2" t="n"/>
      <c r="J2" s="2" t="n"/>
      <c r="K2" s="2" t="n"/>
      <c r="L2" s="2" t="n"/>
      <c r="M2" s="2" t="n"/>
      <c r="N2" s="2" t="n"/>
      <c r="O2" s="2" t="n"/>
      <c r="P2" s="2" t="n"/>
    </row>
    <row r="3" ht="15.75" customHeight="1">
      <c r="B3" s="26" t="inlineStr">
        <is>
          <t>สรุปผลอัตโนมัติจากแท็บ “2. Test Cases” (ไม่ต้องกรอกเอง) · ทุกสูตรนับช่วงแถวจริง 3–56</t>
        </is>
      </c>
      <c r="C3" s="4" t="n"/>
      <c r="D3" s="4" t="n"/>
      <c r="E3" s="4" t="n"/>
      <c r="F3" s="4" t="n"/>
      <c r="G3" s="4" t="n"/>
      <c r="H3" s="4" t="n"/>
      <c r="I3" s="4" t="n"/>
      <c r="J3" s="4" t="n"/>
      <c r="K3" s="4" t="n"/>
      <c r="L3" s="4" t="n"/>
      <c r="M3" s="4" t="n"/>
      <c r="N3" s="4" t="n"/>
      <c r="O3" s="4" t="n"/>
      <c r="P3" s="4" t="n"/>
    </row>
    <row r="5">
      <c r="B5" s="27" t="inlineStr">
        <is>
          <t>Result</t>
        </is>
      </c>
      <c r="C5" s="28" t="inlineStr">
        <is>
          <t>Count</t>
        </is>
      </c>
      <c r="D5" s="28" t="n"/>
      <c r="E5" s="28" t="n"/>
    </row>
    <row r="6" ht="16.5" customHeight="1">
      <c r="B6" s="29" t="inlineStr">
        <is>
          <t>Total test cases</t>
        </is>
      </c>
      <c r="C6" s="30">
        <f>COUNTA('2. Test Cases'!$D$3:$D$56)</f>
        <v/>
      </c>
      <c r="D6" s="30" t="n"/>
      <c r="E6" s="30" t="n"/>
    </row>
    <row r="7" ht="16.5" customHeight="1">
      <c r="B7" s="31" t="inlineStr">
        <is>
          <t>Pass</t>
        </is>
      </c>
      <c r="C7" s="32">
        <f>COUNTIF('2. Test Cases'!$O$3:$O$56,"Pass")</f>
        <v/>
      </c>
      <c r="D7" s="32" t="n"/>
      <c r="E7" s="32" t="n"/>
    </row>
    <row r="8" ht="16.5" customHeight="1">
      <c r="B8" s="33" t="inlineStr">
        <is>
          <t>Fail</t>
        </is>
      </c>
      <c r="C8" s="34">
        <f>COUNTIF('2. Test Cases'!$O$3:$O$56,"Fail")</f>
        <v/>
      </c>
      <c r="D8" s="34" t="n"/>
      <c r="E8" s="34" t="n"/>
    </row>
    <row r="9" ht="16.5" customHeight="1">
      <c r="B9" s="35" t="inlineStr">
        <is>
          <t>Blocked</t>
        </is>
      </c>
      <c r="C9" s="36">
        <f>COUNTIF('2. Test Cases'!$O$3:$O$56,"Blocked")</f>
        <v/>
      </c>
      <c r="D9" s="36" t="n"/>
      <c r="E9" s="36" t="n"/>
    </row>
    <row r="10" ht="16.5" customHeight="1">
      <c r="B10" s="37" t="inlineStr">
        <is>
          <t>Not Run (ยังไม่ได้ทดสอบ)</t>
        </is>
      </c>
      <c r="C10" s="38">
        <f>C6-C7-C8-C9-C11</f>
        <v/>
      </c>
      <c r="D10" s="38" t="n"/>
      <c r="E10" s="38" t="n"/>
    </row>
    <row r="11" ht="16.5" customHeight="1">
      <c r="B11" s="37" t="inlineStr">
        <is>
          <t>N/A</t>
        </is>
      </c>
      <c r="C11" s="38">
        <f>COUNTIF('2. Test Cases'!$O$3:$O$56,"N/A")</f>
        <v/>
      </c>
      <c r="D11" s="38" t="n"/>
      <c r="E11" s="38" t="n"/>
    </row>
    <row r="12" ht="24.75" customHeight="1">
      <c r="B12" s="39" t="inlineStr">
        <is>
          <t>Pass Rate (Pass / Executed)</t>
        </is>
      </c>
      <c r="C12" s="40">
        <f>IFERROR(COUNTIF('2. Test Cases'!$O$3:$O$56,"Pass")/(COUNTIF('2. Test Cases'!$O$3:$O$56,"Pass")+COUNTIF('2. Test Cases'!$O$3:$O$56,"Fail")+COUNTIF('2. Test Cases'!$O$3:$O$56,"Blocked")),"-")</f>
        <v/>
      </c>
      <c r="D12" s="41" t="n"/>
      <c r="E12" s="41" t="n"/>
    </row>
    <row r="14" ht="18" customHeight="1">
      <c r="B14" s="42" t="inlineStr">
        <is>
          <t>Breakdown by Module</t>
        </is>
      </c>
      <c r="C14" s="4" t="n"/>
      <c r="D14" s="4" t="n"/>
      <c r="E14" s="4" t="n"/>
      <c r="G14" s="42" t="inlineStr">
        <is>
          <t>Breakdown by Wave</t>
        </is>
      </c>
      <c r="H14" s="4" t="n"/>
      <c r="I14" s="4" t="n"/>
      <c r="J14" s="4" t="n"/>
      <c r="K14" s="4" t="n"/>
      <c r="M14" s="42" t="inlineStr">
        <is>
          <t>Breakdown by Department</t>
        </is>
      </c>
      <c r="N14" s="4" t="n"/>
      <c r="O14" s="4" t="n"/>
      <c r="P14" s="4"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48"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9" t="n"/>
      <c r="D26" s="9" t="n"/>
      <c r="E26" s="9" t="n"/>
      <c r="F26" s="9" t="n"/>
      <c r="G26" s="9" t="n"/>
      <c r="H26" s="9" t="n"/>
      <c r="I26" s="9" t="n"/>
      <c r="J26" s="9" t="n"/>
      <c r="K26" s="9" t="n"/>
      <c r="L26" s="9" t="n"/>
      <c r="M26" s="9" t="n"/>
      <c r="N26" s="9" t="n"/>
      <c r="O26" s="9" t="n"/>
      <c r="P26" s="9" t="n"/>
    </row>
  </sheetData>
  <mergeCells count="14">
    <mergeCell ref="C11:E11"/>
    <mergeCell ref="B2:P2"/>
    <mergeCell ref="C5:E5"/>
    <mergeCell ref="B26:P26"/>
    <mergeCell ref="B3:P3"/>
    <mergeCell ref="M14:P14"/>
    <mergeCell ref="C8:E8"/>
    <mergeCell ref="C9:E9"/>
    <mergeCell ref="G14:K14"/>
    <mergeCell ref="C7:E7"/>
    <mergeCell ref="B14:E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16" t="inlineStr">
        <is>
          <t>Budget Web App — UAT Defect Log  ·  เปิดแถวใหม่ทุกครั้งที่มีเคส Status = Fail แล้วนำเลข Defect ID ไปใส่ในคอลัมน์ Defect ID ของแท็บ “2. Test Cases”</t>
        </is>
      </c>
      <c r="B1" s="2" t="n"/>
      <c r="C1" s="2" t="n"/>
      <c r="D1" s="2" t="n"/>
      <c r="E1" s="2" t="n"/>
      <c r="F1" s="2" t="n"/>
      <c r="G1" s="2" t="n"/>
      <c r="H1" s="2" t="n"/>
      <c r="I1" s="2" t="n"/>
      <c r="J1" s="2" t="n"/>
      <c r="K1" s="2" t="n"/>
      <c r="L1" s="2" t="n"/>
      <c r="M1" s="2"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49"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9" t="n"/>
      <c r="C44" s="9" t="n"/>
      <c r="D44" s="9" t="n"/>
      <c r="E44" s="9" t="n"/>
      <c r="F44" s="9" t="n"/>
      <c r="G44" s="9" t="n"/>
      <c r="H44" s="9" t="n"/>
      <c r="I44" s="9" t="n"/>
      <c r="J44" s="9" t="n"/>
      <c r="K44" s="9" t="n"/>
      <c r="L44" s="9" t="n"/>
      <c r="M44" s="9"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2026-09-07T00:00:00Z</dcterms:modified>
  <cp:lastModifiedBy>build_uat_test_cases.py</cp:lastModifiedBy>
</cp:coreProperties>
</file>