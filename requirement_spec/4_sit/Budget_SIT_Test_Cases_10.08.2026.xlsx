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9692" windowHeight="11949" tabRatio="500" firstSheet="0" activeTab="0" autoFilterDateGrouping="1"/>
  </bookViews>
  <sheets>
    <sheet xmlns:r="http://schemas.openxmlformats.org/officeDocument/2006/relationships" name="1. Info &amp; Instructions" sheetId="1" state="visible" r:id="rId1"/>
    <sheet xmlns:r="http://schemas.openxmlformats.org/officeDocument/2006/relationships" name="2. Test Cases" sheetId="2" state="visible" r:id="rId2"/>
    <sheet xmlns:r="http://schemas.openxmlformats.org/officeDocument/2006/relationships" name="3. Summary" sheetId="3" state="visible" r:id="rId3"/>
  </sheets>
  <definedNames>
    <definedName name="_xlnm._FilterDatabase" localSheetId="1" hidden="1">'2. Test Cases'!$A$2:$P$46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family val="2"/>
      <color rgb="FFFFFF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80808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5"/>
    </font>
    <font>
      <name val="Arial"/>
      <family val="2"/>
      <b val="1"/>
      <color rgb="FF000000"/>
      <sz val="11"/>
    </font>
    <font>
      <name val="Aptos"/>
      <family val="2"/>
      <b val="1"/>
      <color rgb="FFFFFFFF"/>
      <sz val="11"/>
    </font>
    <font>
      <name val="Aptos"/>
      <family val="2"/>
      <color theme="1"/>
      <sz val="11"/>
    </font>
    <font>
      <name val="Aptos"/>
      <family val="2"/>
      <color rgb="FFFFFFFF"/>
      <sz val="8"/>
    </font>
    <font>
      <name val="Aptos"/>
      <family val="2"/>
      <color theme="1"/>
      <sz val="8"/>
    </font>
    <font>
      <name val="Aptos"/>
      <family val="2"/>
      <b val="1"/>
      <color rgb="FF000000"/>
      <sz val="10"/>
    </font>
    <font>
      <name val="Aptos"/>
      <family val="2"/>
      <color rgb="FF000000"/>
      <sz val="10"/>
    </font>
    <font>
      <name val="Aptos"/>
      <family val="2"/>
      <color rgb="FF808080"/>
      <sz val="9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4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top" wrapText="1"/>
    </xf>
    <xf numFmtId="0" fontId="8" fillId="9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8" fillId="10" borderId="2" applyAlignment="1" pivotButton="0" quotePrefix="0" xfId="0">
      <alignment horizontal="center" vertical="top" wrapText="1"/>
    </xf>
    <xf numFmtId="0" fontId="8" fillId="1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center" vertical="top" wrapText="1"/>
    </xf>
    <xf numFmtId="0" fontId="12" fillId="0" borderId="0" pivotButton="0" quotePrefix="0" xfId="0"/>
    <xf numFmtId="0" fontId="14" fillId="0" borderId="0" pivotButton="0" quotePrefix="0" xfId="0"/>
    <xf numFmtId="0" fontId="15" fillId="4" borderId="2" applyAlignment="1" pivotButton="0" quotePrefix="0" xfId="0">
      <alignment horizontal="left" vertical="top" wrapText="1"/>
    </xf>
    <xf numFmtId="0" fontId="16" fillId="5" borderId="2" applyAlignment="1" pivotButton="0" quotePrefix="0" xfId="0">
      <alignment horizontal="left" vertical="top" wrapText="1"/>
    </xf>
    <xf numFmtId="0" fontId="16" fillId="6" borderId="2" applyAlignment="1" pivotButton="0" quotePrefix="0" xfId="0">
      <alignment horizontal="left" vertical="top" wrapText="1"/>
    </xf>
    <xf numFmtId="0" fontId="16" fillId="4" borderId="2" applyAlignment="1" pivotButton="0" quotePrefix="0" xfId="0">
      <alignment horizontal="left" vertical="top" wrapText="1"/>
    </xf>
    <xf numFmtId="0" fontId="16" fillId="7" borderId="2" applyAlignment="1" pivotButton="0" quotePrefix="0" xfId="0">
      <alignment horizontal="left" vertical="top" wrapText="1"/>
    </xf>
    <xf numFmtId="0" fontId="16" fillId="8" borderId="2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center" vertical="top" wrapText="1"/>
    </xf>
    <xf numFmtId="0" fontId="10" fillId="6" borderId="2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center" vertical="top" wrapText="1"/>
    </xf>
    <xf numFmtId="164" fontId="10" fillId="4" borderId="2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top" wrapText="1"/>
    </xf>
    <xf numFmtId="0" fontId="10" fillId="5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tabSelected="1" topLeftCell="A12" zoomScaleNormal="100" workbookViewId="0">
      <selection activeCell="A18" sqref="A18:B18"/>
    </sheetView>
  </sheetViews>
  <sheetFormatPr baseColWidth="8" defaultColWidth="8.7109375" defaultRowHeight="14.65"/>
  <cols>
    <col width="30" customWidth="1" style="21" min="1" max="1"/>
    <col width="85" customWidth="1" style="21" min="2" max="2"/>
    <col width="3" customWidth="1" style="21" min="3" max="3"/>
    <col width="8.7109375" customWidth="1" style="21" min="4" max="16384"/>
  </cols>
  <sheetData>
    <row r="1">
      <c r="A1" s="32" t="inlineStr">
        <is>
          <t>Budget Web Application — SIT Test Case Template</t>
        </is>
      </c>
      <c r="B1" s="46" t="n"/>
    </row>
    <row r="2" ht="10.7" customFormat="1" customHeight="1" s="22">
      <c r="A2" s="33" t="inlineStr">
        <is>
          <t>Chememan PCL (CMAN)  |  System Integration Testing (SIT)  |  Data &amp; Analytics</t>
        </is>
      </c>
      <c r="B2" s="46" t="n"/>
    </row>
    <row r="4" ht="19.5" customHeight="1">
      <c r="A4" s="30" t="inlineStr">
        <is>
          <t>Project Information</t>
        </is>
      </c>
      <c r="B4" s="46" t="n"/>
    </row>
    <row r="5" ht="15.75" customHeight="1">
      <c r="A5" s="23" t="inlineStr">
        <is>
          <t>Application</t>
        </is>
      </c>
      <c r="B5" s="24" t="inlineStr">
        <is>
          <t>Budget Web Application</t>
        </is>
      </c>
    </row>
    <row r="6" ht="15.75" customHeight="1">
      <c r="A6" s="23" t="inlineStr">
        <is>
          <t>Environment</t>
        </is>
      </c>
      <c r="B6" s="24" t="inlineStr">
        <is>
          <t>SIT  —  https://cman-budget-web-prd.kindstone-f34836dd.southeastasia.azurecontainerapps.io/</t>
        </is>
      </c>
    </row>
    <row r="7" ht="15.75" customHeight="1">
      <c r="A7" s="23" t="inlineStr">
        <is>
          <t>Test Phase</t>
        </is>
      </c>
      <c r="B7" s="24" t="inlineStr">
        <is>
          <t>System Integration Test (SIT)</t>
        </is>
      </c>
    </row>
    <row r="8" ht="15.75" customHeight="1">
      <c r="A8" s="23" t="inlineStr">
        <is>
          <t>Department under test</t>
        </is>
      </c>
      <c r="B8" s="24" t="inlineStr">
        <is>
          <t>Data Analytic</t>
        </is>
      </c>
    </row>
    <row r="9" ht="15.75" customHeight="1">
      <c r="A9" s="23" t="inlineStr">
        <is>
          <t>Role — Filler (ผู้กรอกงบ)</t>
        </is>
      </c>
      <c r="B9" s="24" t="inlineStr">
        <is>
          <t>Pornthip</t>
        </is>
      </c>
    </row>
    <row r="10" ht="15.75" customHeight="1">
      <c r="A10" s="23" t="inlineStr">
        <is>
          <t>Role — Approver 1 (ผู้อนุมัติ)</t>
        </is>
      </c>
      <c r="B10" s="24" t="inlineStr">
        <is>
          <t>Laddawan</t>
        </is>
      </c>
    </row>
    <row r="11" ht="15.75" customHeight="1">
      <c r="A11" s="23" t="inlineStr">
        <is>
          <t>Test Lead</t>
        </is>
      </c>
      <c r="B11" s="24" t="inlineStr">
        <is>
          <t>________________________  (Data team manager)</t>
        </is>
      </c>
    </row>
    <row r="12" ht="15.75" customHeight="1">
      <c r="A12" s="23" t="inlineStr">
        <is>
          <t>Test Cycle / Round</t>
        </is>
      </c>
      <c r="B12" s="24" t="inlineStr">
        <is>
          <t>Round 1</t>
        </is>
      </c>
    </row>
    <row r="13" ht="15.75" customHeight="1">
      <c r="A13" s="23" t="inlineStr">
        <is>
          <t>Start Date</t>
        </is>
      </c>
      <c r="B13" s="24" t="inlineStr">
        <is>
          <t>____ / ____ / ______</t>
        </is>
      </c>
    </row>
    <row r="14" ht="15.75" customHeight="1">
      <c r="A14" s="23" t="inlineStr">
        <is>
          <t>Target End Date</t>
        </is>
      </c>
      <c r="B14" s="24" t="inlineStr">
        <is>
          <t>____ / ____ / ______</t>
        </is>
      </c>
    </row>
    <row r="16" ht="19.5" customHeight="1">
      <c r="A16" s="30" t="inlineStr">
        <is>
          <t>How to use this workbook</t>
        </is>
      </c>
      <c r="B16" s="46" t="n"/>
    </row>
    <row r="17" ht="15" customHeight="1">
      <c r="A17" s="29" t="inlineStr">
        <is>
          <t>1.  ไปที่แท็บ  “2. Test Cases”  ซึ่งมีเคสทดสอบเตรียมไว้ให้แล้วตาม flow ของระบบ Budget.</t>
        </is>
      </c>
      <c r="B17" s="46" t="n"/>
    </row>
    <row r="18" ht="15" customHeight="1">
      <c r="A18" s="29" t="inlineStr">
        <is>
          <t>2.  ทดสอบทีละเคสตาม “Test Steps” แล้วเทียบผลกับ “Expected Result”.</t>
        </is>
      </c>
      <c r="B18" s="46" t="n"/>
    </row>
    <row r="19" ht="15" customHeight="1">
      <c r="A19" s="29" t="inlineStr">
        <is>
          <t>3.  กรอกเฉพาะช่องพื้นหลังสีเหลือง: Actual Result, Status, Severity, Defect ID, Tester, Test Date, Remarks.</t>
        </is>
      </c>
      <c r="B19" s="46" t="n"/>
    </row>
    <row r="20" ht="15" customHeight="1">
      <c r="A20" s="29" t="inlineStr">
        <is>
          <t>4.  เลือก Status จาก dropdown: Pass / Fail / Blocked / N/A  (ค่าเริ่มต้น = Not Run).</t>
        </is>
      </c>
      <c r="B20" s="46" t="n"/>
    </row>
    <row r="21" ht="15" customHeight="1">
      <c r="A21" s="29" t="inlineStr">
        <is>
          <t>5.  ถ้า Fail ให้ระบุ Severity และบันทึกรายละเอียดบั๊กใน “Actual Result” + เลข Defect ID.</t>
        </is>
      </c>
      <c r="B21" s="46" t="n"/>
    </row>
    <row r="22" ht="15" customHeight="1">
      <c r="A22" s="29" t="inlineStr">
        <is>
          <t>6.  แท็บ “3. Summary” สรุปผลอัตโนมัติ (นับจำนวน/อัตราผ่าน) ไม่ต้องกรอกเอง.</t>
        </is>
      </c>
      <c r="B22" s="46" t="n"/>
    </row>
    <row r="23" ht="15" customHeight="1">
      <c r="A23" s="29" t="inlineStr">
        <is>
          <t>7.  เพิ่มเคสใหม่ได้โดยแทรกแถวในแท็บ Test Cases (คัดลอกรูปแบบจากแถวด้านบน).</t>
        </is>
      </c>
      <c r="B23" s="46" t="n"/>
    </row>
    <row r="25" ht="19.5" customHeight="1">
      <c r="A25" s="30" t="inlineStr">
        <is>
          <t>Legend / คำอธิบายสี &amp; สถานะ</t>
        </is>
      </c>
      <c r="B25" s="46" t="n"/>
    </row>
    <row r="26" ht="15" customHeight="1">
      <c r="A26" s="25" t="n"/>
      <c r="B26" s="24" t="inlineStr">
        <is>
          <t>ช่องพื้นหลังสีเหลือง = ช่องที่ผู้ทดสอบต้องกรอก</t>
        </is>
      </c>
    </row>
    <row r="27" ht="15" customHeight="1">
      <c r="A27" s="26" t="n"/>
      <c r="B27" s="24" t="inlineStr">
        <is>
          <t>ช่องพื้นหลังสีฟ้า = ข้อมูลที่เตรียมไว้แล้ว (ไม่ต้องแก้)</t>
        </is>
      </c>
    </row>
    <row r="28" ht="15" customHeight="1">
      <c r="A28" s="27" t="n"/>
      <c r="B28" s="24" t="inlineStr">
        <is>
          <t>Status = Pass  (ผลตรงตามที่คาดหวัง)</t>
        </is>
      </c>
    </row>
    <row r="29" ht="15" customHeight="1">
      <c r="A29" s="28" t="n"/>
      <c r="B29" s="24" t="inlineStr">
        <is>
          <t>Status = Fail  (ผลไม่ตรง / พบบั๊ก)</t>
        </is>
      </c>
    </row>
    <row r="30" ht="27.75" customHeight="1">
      <c r="A30" s="31" t="inlineStr">
        <is>
          <t>Severity: Critical = ระบบใช้งานไม่ได้/ข้อมูลผิดพลาดร้ายแรง | High = ฟังก์ชันหลักเสีย | Medium = มีทางเลี่ยง | Low = ปัญหาเล็กน้อย/UI</t>
        </is>
      </c>
      <c r="B30" s="46" t="n"/>
    </row>
  </sheetData>
  <mergeCells count="13">
    <mergeCell ref="A4:B4"/>
    <mergeCell ref="A20:B20"/>
    <mergeCell ref="A30:B30"/>
    <mergeCell ref="A16:B16"/>
    <mergeCell ref="A2:B2"/>
    <mergeCell ref="A21:B21"/>
    <mergeCell ref="A25:B25"/>
    <mergeCell ref="A19:B19"/>
    <mergeCell ref="A1:B1"/>
    <mergeCell ref="A23:B23"/>
    <mergeCell ref="A17:B17"/>
    <mergeCell ref="A18:B18"/>
    <mergeCell ref="A22:B2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zoomScale="85" zoomScaleNormal="85" workbookViewId="0">
      <pane ySplit="2" topLeftCell="A3" activePane="bottomLeft" state="frozen"/>
      <selection pane="bottomLeft" activeCell="A3" sqref="A3:XFD3"/>
    </sheetView>
  </sheetViews>
  <sheetFormatPr baseColWidth="8" defaultColWidth="8.7109375" defaultRowHeight="14.65"/>
  <cols>
    <col width="5" customWidth="1" min="1" max="1"/>
    <col width="12" customWidth="1" min="2" max="2"/>
    <col width="18" customWidth="1" min="3" max="3"/>
    <col width="34" customWidth="1" min="4" max="4"/>
    <col width="9" customWidth="1" min="5" max="5"/>
    <col width="30" customWidth="1" min="6" max="6"/>
    <col width="44" customWidth="1" min="7" max="7"/>
    <col width="24" customWidth="1" min="8" max="8"/>
    <col width="40" customWidth="1" min="9" max="9"/>
    <col width="30" customWidth="1" min="10" max="10"/>
    <col width="11" customWidth="1" min="11" max="12"/>
    <col width="12" customWidth="1" min="13" max="15"/>
    <col width="22" customWidth="1" min="16" max="16"/>
  </cols>
  <sheetData>
    <row r="1" ht="24" customHeight="1">
      <c r="A1" s="34" t="inlineStr">
        <is>
          <t>Budget Web App — SIT Test Cases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</row>
    <row r="2" ht="33.75" customHeight="1">
      <c r="A2" s="5" t="inlineStr">
        <is>
          <t>No.</t>
        </is>
      </c>
      <c r="B2" s="5" t="inlineStr">
        <is>
          <t>Test Case ID</t>
        </is>
      </c>
      <c r="C2" s="5" t="inlineStr">
        <is>
          <t>Module / ฟังก์ชัน</t>
        </is>
      </c>
      <c r="D2" s="5" t="inlineStr">
        <is>
          <t>Test Scenario / สถานการณ์</t>
        </is>
      </c>
      <c r="E2" s="5" t="inlineStr">
        <is>
          <t>Priority</t>
        </is>
      </c>
      <c r="F2" s="5" t="inlineStr">
        <is>
          <t>Preconditions / เงื่อนไขก่อนทดสอบ</t>
        </is>
      </c>
      <c r="G2" s="5" t="inlineStr">
        <is>
          <t>Test Steps / ขั้นตอนการทดสอบ</t>
        </is>
      </c>
      <c r="H2" s="5" t="inlineStr">
        <is>
          <t>Test Data / ข้อมูลทดสอบ</t>
        </is>
      </c>
      <c r="I2" s="5" t="inlineStr">
        <is>
          <t>Expected Result / ผลที่คาดหวัง</t>
        </is>
      </c>
      <c r="J2" s="5" t="inlineStr">
        <is>
          <t>Actual Result / ผลจริง</t>
        </is>
      </c>
      <c r="K2" s="5" t="inlineStr">
        <is>
          <t>Status</t>
        </is>
      </c>
      <c r="L2" s="5" t="inlineStr">
        <is>
          <t>Severity</t>
        </is>
      </c>
      <c r="M2" s="5" t="inlineStr">
        <is>
          <t>Defect ID</t>
        </is>
      </c>
      <c r="N2" s="5" t="inlineStr">
        <is>
          <t>Tester</t>
        </is>
      </c>
      <c r="O2" s="5" t="inlineStr">
        <is>
          <t>Test Date</t>
        </is>
      </c>
      <c r="P2" s="5" t="inlineStr">
        <is>
          <t>Remarks / หมายเหตุ</t>
        </is>
      </c>
    </row>
    <row r="3" ht="57.75" customHeight="1">
      <c r="A3" s="6" t="inlineStr">
        <is>
          <t>EX</t>
        </is>
      </c>
      <c r="B3" s="7" t="inlineStr">
        <is>
          <t>TC-EX</t>
        </is>
      </c>
      <c r="C3" s="7" t="inlineStr">
        <is>
          <t>Login / Authentication</t>
        </is>
      </c>
      <c r="D3" s="7" t="inlineStr">
        <is>
          <t>(ตัวอย่างการกรอก) เข้าสู่ระบบด้วยบัญชีที่ถูกต้อง</t>
        </is>
      </c>
      <c r="E3" s="6" t="inlineStr">
        <is>
          <t>High</t>
        </is>
      </c>
      <c r="F3" s="7" t="inlineStr">
        <is>
          <t>มีบัญชีผู้ใช้</t>
        </is>
      </c>
      <c r="G3" s="7" t="inlineStr">
        <is>
          <t>1. เปิด URL
2. Sign in
3. กรอกบัญชี
4. ยืนยัน</t>
        </is>
      </c>
      <c r="H3" s="7" t="inlineStr">
        <is>
          <t>User: Pornthip</t>
        </is>
      </c>
      <c r="I3" s="7" t="inlineStr">
        <is>
          <t>เข้าสู่ระบบสำเร็จ แสดงหน้าหลัก</t>
        </is>
      </c>
      <c r="J3" s="7" t="inlineStr">
        <is>
          <t>เข้าได้ปกติ แสดงหน้าหลักถูกต้อง</t>
        </is>
      </c>
      <c r="K3" s="6" t="inlineStr">
        <is>
          <t>Pass</t>
        </is>
      </c>
      <c r="L3" s="6" t="inlineStr">
        <is>
          <t>-</t>
        </is>
      </c>
      <c r="M3" s="7" t="inlineStr">
        <is>
          <t>-</t>
        </is>
      </c>
      <c r="N3" s="7" t="inlineStr">
        <is>
          <t>Pornthip</t>
        </is>
      </c>
      <c r="O3" s="6" t="inlineStr">
        <is>
          <t>10/08/2026</t>
        </is>
      </c>
      <c r="P3" s="7" t="inlineStr">
        <is>
          <t>ตัวอย่างแถวสำหรับอ้างอิงรูปแบบการกรอก</t>
        </is>
      </c>
    </row>
    <row r="4" ht="57.75" customHeight="1">
      <c r="A4" s="8" t="n">
        <v>1</v>
      </c>
      <c r="B4" s="9" t="inlineStr">
        <is>
          <t>TC-001</t>
        </is>
      </c>
      <c r="C4" s="9" t="inlineStr">
        <is>
          <t>Login / Authentication</t>
        </is>
      </c>
      <c r="D4" s="9" t="inlineStr">
        <is>
          <t>เข้าสู่ระบบด้วยบัญชีที่ถูกต้อง (Filler)</t>
        </is>
      </c>
      <c r="E4" s="8" t="inlineStr">
        <is>
          <t>High</t>
        </is>
      </c>
      <c r="F4" s="9" t="inlineStr">
        <is>
          <t>มีบัญชีผู้ใช้ role Filler และเข้าถึง URL ของระบบได้</t>
        </is>
      </c>
      <c r="G4" s="9" t="inlineStr">
        <is>
          <t>1. เปิด URL ของระบบ
2. คลิก Sign in
3. กรอก username/password ของ Pornthip
4. ยืนยัน</t>
        </is>
      </c>
      <c r="H4" s="9" t="inlineStr">
        <is>
          <t>User: Pornthip (Filler)</t>
        </is>
      </c>
      <c r="I4" s="9" t="inlineStr">
        <is>
          <t>เข้าสู่ระบบสำเร็จ แสดงหน้าหลักตาม role Filler ของแผนก Data Analytic</t>
        </is>
      </c>
      <c r="J4" s="10" t="n"/>
      <c r="K4" s="11" t="inlineStr">
        <is>
          <t>Not Run</t>
        </is>
      </c>
      <c r="L4" s="11" t="n"/>
      <c r="M4" s="10" t="n"/>
      <c r="N4" s="10" t="n"/>
      <c r="O4" s="11" t="n"/>
      <c r="P4" s="10" t="n"/>
    </row>
    <row r="5" ht="57.75" customHeight="1">
      <c r="A5" s="12" t="n">
        <v>2</v>
      </c>
      <c r="B5" s="13" t="inlineStr">
        <is>
          <t>TC-002</t>
        </is>
      </c>
      <c r="C5" s="13" t="inlineStr">
        <is>
          <t>Login / Authentication</t>
        </is>
      </c>
      <c r="D5" s="13" t="inlineStr">
        <is>
          <t>เข้าสู่ระบบด้วยบัญชีที่ถูกต้อง (Approver)</t>
        </is>
      </c>
      <c r="E5" s="12" t="inlineStr">
        <is>
          <t>High</t>
        </is>
      </c>
      <c r="F5" s="13" t="inlineStr">
        <is>
          <t>มีบัญชีผู้ใช้ role Approver1</t>
        </is>
      </c>
      <c r="G5" s="13" t="inlineStr">
        <is>
          <t>1. เปิด URL
2. Sign in
3. กรอกบัญชีของ Laddawan
4. ยืนยัน</t>
        </is>
      </c>
      <c r="H5" s="13" t="inlineStr">
        <is>
          <t>User: Laddawan (Approver1)</t>
        </is>
      </c>
      <c r="I5" s="13" t="inlineStr">
        <is>
          <t>เข้าสู่ระบบสำเร็จ แสดงเมนู/สิทธิ์ของ Approver (เห็นรายการรออนุมัติ)</t>
        </is>
      </c>
      <c r="J5" s="10" t="n"/>
      <c r="K5" s="11" t="inlineStr">
        <is>
          <t>Not Run</t>
        </is>
      </c>
      <c r="L5" s="11" t="n"/>
      <c r="M5" s="10" t="n"/>
      <c r="N5" s="10" t="n"/>
      <c r="O5" s="11" t="n"/>
      <c r="P5" s="10" t="n"/>
    </row>
    <row r="6" ht="57.75" customHeight="1">
      <c r="A6" s="8" t="n">
        <v>3</v>
      </c>
      <c r="B6" s="9" t="inlineStr">
        <is>
          <t>TC-003</t>
        </is>
      </c>
      <c r="C6" s="9" t="inlineStr">
        <is>
          <t>Login / Authentication</t>
        </is>
      </c>
      <c r="D6" s="9" t="inlineStr">
        <is>
          <t>เข้าสู่ระบบด้วยรหัสผ่านผิด</t>
        </is>
      </c>
      <c r="E6" s="8" t="inlineStr">
        <is>
          <t>High</t>
        </is>
      </c>
      <c r="F6" s="9" t="inlineStr">
        <is>
          <t>มีบัญชีผู้ใช้อยู่ในระบบ</t>
        </is>
      </c>
      <c r="G6" s="9" t="inlineStr">
        <is>
          <t>1. Sign in
2. กรอก username ถูก แต่ password ผิด
3. ยืนยัน</t>
        </is>
      </c>
      <c r="H6" s="9" t="inlineStr">
        <is>
          <t>password ผิด</t>
        </is>
      </c>
      <c r="I6" s="9" t="inlineStr">
        <is>
          <t>ระบบปฏิเสธการเข้าใช้ แสดงข้อความ error ที่เหมาะสม ไม่เข้าสู่ระบบ</t>
        </is>
      </c>
      <c r="J6" s="10" t="n"/>
      <c r="K6" s="11" t="inlineStr">
        <is>
          <t>Not Run</t>
        </is>
      </c>
      <c r="L6" s="11" t="n"/>
      <c r="M6" s="10" t="n"/>
      <c r="N6" s="10" t="n"/>
      <c r="O6" s="11" t="n"/>
      <c r="P6" s="10" t="n"/>
    </row>
    <row r="7" ht="57.75" customHeight="1">
      <c r="A7" s="12" t="n">
        <v>4</v>
      </c>
      <c r="B7" s="13" t="inlineStr">
        <is>
          <t>TC-004</t>
        </is>
      </c>
      <c r="C7" s="13" t="inlineStr">
        <is>
          <t>Login / Authentication</t>
        </is>
      </c>
      <c r="D7" s="13" t="inlineStr">
        <is>
          <t>ออกจากระบบ (Logout)</t>
        </is>
      </c>
      <c r="E7" s="12" t="inlineStr">
        <is>
          <t>Medium</t>
        </is>
      </c>
      <c r="F7" s="13" t="inlineStr">
        <is>
          <t>ล็อกอินอยู่</t>
        </is>
      </c>
      <c r="G7" s="13" t="inlineStr">
        <is>
          <t>1. คลิกเมนู user
2. เลือก Logout
3. กด Back ของ browser</t>
        </is>
      </c>
      <c r="H7" s="13" t="inlineStr">
        <is>
          <t>-</t>
        </is>
      </c>
      <c r="I7" s="13" t="inlineStr">
        <is>
          <t>ออกจากระบบและกลับไปหน้า Sign in; กด Back แล้วต้องไม่เข้าถึงข้อมูลเดิมได้</t>
        </is>
      </c>
      <c r="J7" s="10" t="n"/>
      <c r="K7" s="11" t="inlineStr">
        <is>
          <t>Not Run</t>
        </is>
      </c>
      <c r="L7" s="11" t="n"/>
      <c r="M7" s="10" t="n"/>
      <c r="N7" s="10" t="n"/>
      <c r="O7" s="11" t="n"/>
      <c r="P7" s="10" t="n"/>
    </row>
    <row r="8" ht="57.75" customHeight="1">
      <c r="A8" s="8" t="n">
        <v>5</v>
      </c>
      <c r="B8" s="9" t="inlineStr">
        <is>
          <t>TC-005</t>
        </is>
      </c>
      <c r="C8" s="9" t="inlineStr">
        <is>
          <t>Login / Authentication</t>
        </is>
      </c>
      <c r="D8" s="9" t="inlineStr">
        <is>
          <t>Session หมดอายุ / timeout</t>
        </is>
      </c>
      <c r="E8" s="8" t="inlineStr">
        <is>
          <t>Medium</t>
        </is>
      </c>
      <c r="F8" s="9" t="inlineStr">
        <is>
          <t>ล็อกอินอยู่</t>
        </is>
      </c>
      <c r="G8" s="9" t="inlineStr">
        <is>
          <t>1. ล็อกอินแล้วปล่อยทิ้งไว้จนเกินเวลา session
2. กลับมาคลิกทำรายการ</t>
        </is>
      </c>
      <c r="H8" s="9" t="inlineStr">
        <is>
          <t>ทิ้งไว้เกินเวลา timeout</t>
        </is>
      </c>
      <c r="I8" s="9" t="inlineStr">
        <is>
          <t>ระบบบังคับให้ล็อกอินใหม่ ไม่ให้ทำรายการต่อด้วย session เดิม</t>
        </is>
      </c>
      <c r="J8" s="10" t="n"/>
      <c r="K8" s="11" t="inlineStr">
        <is>
          <t>Not Run</t>
        </is>
      </c>
      <c r="L8" s="11" t="n"/>
      <c r="M8" s="10" t="n"/>
      <c r="N8" s="10" t="n"/>
      <c r="O8" s="11" t="n"/>
      <c r="P8" s="10" t="n"/>
    </row>
    <row r="9" ht="57.75" customHeight="1">
      <c r="A9" s="12" t="n">
        <v>6</v>
      </c>
      <c r="B9" s="13" t="inlineStr">
        <is>
          <t>TC-006</t>
        </is>
      </c>
      <c r="C9" s="13" t="inlineStr">
        <is>
          <t>Budget Entry (Filler)</t>
        </is>
      </c>
      <c r="D9" s="13" t="inlineStr">
        <is>
          <t>แสดงฟอร์มกรอกงบของแผนก Data Analytic</t>
        </is>
      </c>
      <c r="E9" s="12" t="inlineStr">
        <is>
          <t>High</t>
        </is>
      </c>
      <c r="F9" s="13" t="inlineStr">
        <is>
          <t>ล็อกอินเป็น Filler (Pornthip)</t>
        </is>
      </c>
      <c r="G9" s="13" t="inlineStr">
        <is>
          <t>1. เข้าเมนูกรอกงบประมาณ
2. ตรวจดูแผนก/ปีงบ/หมวดหมู่ที่แสดง</t>
        </is>
      </c>
      <c r="H9" s="13" t="inlineStr">
        <is>
          <t>Dept: Data Analytic</t>
        </is>
      </c>
      <c r="I9" s="13" t="inlineStr">
        <is>
          <t>ฟอร์มแสดงแผนก Data Analytic ถูกต้อง พร้อมหมวด/รายการงบและช่วงเวลาครบตามที่ออกแบบ</t>
        </is>
      </c>
      <c r="J9" s="10" t="n"/>
      <c r="K9" s="11" t="inlineStr">
        <is>
          <t>Not Run</t>
        </is>
      </c>
      <c r="L9" s="11" t="n"/>
      <c r="M9" s="10" t="n"/>
      <c r="N9" s="10" t="n"/>
      <c r="O9" s="11" t="n"/>
      <c r="P9" s="10" t="n"/>
    </row>
    <row r="10" ht="57.75" customHeight="1">
      <c r="A10" s="8" t="n">
        <v>7</v>
      </c>
      <c r="B10" s="9" t="inlineStr">
        <is>
          <t>TC-007</t>
        </is>
      </c>
      <c r="C10" s="9" t="inlineStr">
        <is>
          <t>Budget Entry (Filler)</t>
        </is>
      </c>
      <c r="D10" s="9" t="inlineStr">
        <is>
          <t>กรอกจำนวนเงินงบปกติและบันทึกร่าง</t>
        </is>
      </c>
      <c r="E10" s="8" t="inlineStr">
        <is>
          <t>High</t>
        </is>
      </c>
      <c r="F10" s="9" t="inlineStr">
        <is>
          <t>อยู่ในหน้าฟอร์มกรอกงบ</t>
        </is>
      </c>
      <c r="G10" s="9" t="inlineStr">
        <is>
          <t>1. กรอกจำนวนเงินในแต่ละรายการ
2. กด Save/บันทึกร่าง
3. โหลดหน้าใหม่</t>
        </is>
      </c>
      <c r="H10" s="9" t="inlineStr">
        <is>
          <t>เช่น 100,000 / 250,000</t>
        </is>
      </c>
      <c r="I10" s="9" t="inlineStr">
        <is>
          <t>บันทึกร่างได้ ข้อมูลคงอยู่หลังโหลดใหม่ สถานะเป็น Draft</t>
        </is>
      </c>
      <c r="J10" s="10" t="n"/>
      <c r="K10" s="11" t="inlineStr">
        <is>
          <t>Not Run</t>
        </is>
      </c>
      <c r="L10" s="11" t="n"/>
      <c r="M10" s="10" t="n"/>
      <c r="N10" s="10" t="n"/>
      <c r="O10" s="11" t="n"/>
      <c r="P10" s="10" t="n"/>
    </row>
    <row r="11" ht="57.75" customHeight="1">
      <c r="A11" s="12" t="n">
        <v>8</v>
      </c>
      <c r="B11" s="13" t="inlineStr">
        <is>
          <t>TC-008</t>
        </is>
      </c>
      <c r="C11" s="13" t="inlineStr">
        <is>
          <t>Budget Entry (Filler)</t>
        </is>
      </c>
      <c r="D11" s="13" t="inlineStr">
        <is>
          <t>ผลรวม (Total) คำนวณอัตโนมัติถูกต้อง</t>
        </is>
      </c>
      <c r="E11" s="12" t="inlineStr">
        <is>
          <t>High</t>
        </is>
      </c>
      <c r="F11" s="13" t="inlineStr">
        <is>
          <t>กรอกงบหลายรายการ</t>
        </is>
      </c>
      <c r="G11" s="13" t="inlineStr">
        <is>
          <t>1. กรอกตัวเลขหลายรายการ
2. ตรวจยอดรวมที่ระบบแสดง</t>
        </is>
      </c>
      <c r="H11" s="13" t="inlineStr">
        <is>
          <t>10,000 + 20,000 + 5,500</t>
        </is>
      </c>
      <c r="I11" s="13" t="inlineStr">
        <is>
          <t>ยอดรวม = ผลบวกของทุกรายการ (=35,500) แสดงถูกต้องแบบ real-time</t>
        </is>
      </c>
      <c r="J11" s="10" t="n"/>
      <c r="K11" s="11" t="inlineStr">
        <is>
          <t>Not Run</t>
        </is>
      </c>
      <c r="L11" s="11" t="n"/>
      <c r="M11" s="10" t="n"/>
      <c r="N11" s="10" t="n"/>
      <c r="O11" s="11" t="n"/>
      <c r="P11" s="10" t="n"/>
    </row>
    <row r="12" ht="57.75" customHeight="1">
      <c r="A12" s="8" t="n">
        <v>9</v>
      </c>
      <c r="B12" s="9" t="inlineStr">
        <is>
          <t>TC-009</t>
        </is>
      </c>
      <c r="C12" s="9" t="inlineStr">
        <is>
          <t>Budget Entry (Filler)</t>
        </is>
      </c>
      <c r="D12" s="9" t="inlineStr">
        <is>
          <t>รูปแบบตัวเลข / คั่นหลักพัน / ทศนิยม</t>
        </is>
      </c>
      <c r="E12" s="8" t="inlineStr">
        <is>
          <t>Medium</t>
        </is>
      </c>
      <c r="F12" s="9" t="inlineStr">
        <is>
          <t>อยู่ในหน้าฟอร์ม</t>
        </is>
      </c>
      <c r="G12" s="9" t="inlineStr">
        <is>
          <t>1. กรอก 1234567.89
2. ออกจากช่อง (blur)</t>
        </is>
      </c>
      <c r="H12" s="9" t="inlineStr">
        <is>
          <t>1234567.89</t>
        </is>
      </c>
      <c r="I12" s="9" t="inlineStr">
        <is>
          <t>แสดงเป็น 1,234,567.89 (คั่นหลักพัน, ทศนิยม 2 ตำแหน่ง) หน่วยเป็น THB</t>
        </is>
      </c>
      <c r="J12" s="10" t="n"/>
      <c r="K12" s="11" t="inlineStr">
        <is>
          <t>Not Run</t>
        </is>
      </c>
      <c r="L12" s="11" t="n"/>
      <c r="M12" s="10" t="n"/>
      <c r="N12" s="10" t="n"/>
      <c r="O12" s="11" t="n"/>
      <c r="P12" s="10" t="n"/>
    </row>
    <row r="13" ht="57.75" customHeight="1">
      <c r="A13" s="12" t="n">
        <v>10</v>
      </c>
      <c r="B13" s="13" t="inlineStr">
        <is>
          <t>TC-010</t>
        </is>
      </c>
      <c r="C13" s="13" t="inlineStr">
        <is>
          <t>Budget Entry (Filler)</t>
        </is>
      </c>
      <c r="D13" s="13" t="inlineStr">
        <is>
          <t>Validation — ช่องบังคับว่าง</t>
        </is>
      </c>
      <c r="E13" s="12" t="inlineStr">
        <is>
          <t>High</t>
        </is>
      </c>
      <c r="F13" s="13" t="inlineStr">
        <is>
          <t>อยู่ในหน้าฟอร์ม</t>
        </is>
      </c>
      <c r="G13" s="13" t="inlineStr">
        <is>
          <t>1. เว้นช่องที่บังคับกรอกให้ว่าง
2. กดส่ง</t>
        </is>
      </c>
      <c r="H13" s="13" t="inlineStr">
        <is>
          <t>ช่องบังคับ = ว่าง</t>
        </is>
      </c>
      <c r="I13" s="13" t="inlineStr">
        <is>
          <t>ระบบไม่ให้ส่ง แสดงข้อความเตือนช่องที่ต้องกรอกอย่างชัดเจน</t>
        </is>
      </c>
      <c r="J13" s="10" t="n"/>
      <c r="K13" s="11" t="inlineStr">
        <is>
          <t>Not Run</t>
        </is>
      </c>
      <c r="L13" s="11" t="n"/>
      <c r="M13" s="10" t="n"/>
      <c r="N13" s="10" t="n"/>
      <c r="O13" s="11" t="n"/>
      <c r="P13" s="10" t="n"/>
    </row>
    <row r="14" ht="57.75" customHeight="1">
      <c r="A14" s="8" t="n">
        <v>11</v>
      </c>
      <c r="B14" s="9" t="inlineStr">
        <is>
          <t>TC-011</t>
        </is>
      </c>
      <c r="C14" s="9" t="inlineStr">
        <is>
          <t>Budget Entry (Filler)</t>
        </is>
      </c>
      <c r="D14" s="9" t="inlineStr">
        <is>
          <t>Validation — กรอกตัวอักษรในช่องตัวเลข</t>
        </is>
      </c>
      <c r="E14" s="8" t="inlineStr">
        <is>
          <t>Medium</t>
        </is>
      </c>
      <c r="F14" s="9" t="inlineStr">
        <is>
          <t>อยู่ในหน้าฟอร์ม</t>
        </is>
      </c>
      <c r="G14" s="9" t="inlineStr">
        <is>
          <t>1. พิมพ์ตัวอักษร/สัญลักษณ์ในช่องจำนวนเงิน</t>
        </is>
      </c>
      <c r="H14" s="9" t="inlineStr">
        <is>
          <t>abc, @#$</t>
        </is>
      </c>
      <c r="I14" s="9" t="inlineStr">
        <is>
          <t>ระบบปฏิเสธ/ไม่รับค่า หรือแจ้งเตือนว่าต้องเป็นตัวเลขเท่านั้น</t>
        </is>
      </c>
      <c r="J14" s="10" t="n"/>
      <c r="K14" s="11" t="inlineStr">
        <is>
          <t>Not Run</t>
        </is>
      </c>
      <c r="L14" s="11" t="n"/>
      <c r="M14" s="10" t="n"/>
      <c r="N14" s="10" t="n"/>
      <c r="O14" s="11" t="n"/>
      <c r="P14" s="10" t="n"/>
    </row>
    <row r="15" ht="57.75" customHeight="1">
      <c r="A15" s="12" t="n">
        <v>12</v>
      </c>
      <c r="B15" s="13" t="inlineStr">
        <is>
          <t>TC-012</t>
        </is>
      </c>
      <c r="C15" s="13" t="inlineStr">
        <is>
          <t>Budget Entry (Filler)</t>
        </is>
      </c>
      <c r="D15" s="13" t="inlineStr">
        <is>
          <t>Validation — ค่าติดลบ</t>
        </is>
      </c>
      <c r="E15" s="12" t="inlineStr">
        <is>
          <t>Medium</t>
        </is>
      </c>
      <c r="F15" s="13" t="inlineStr">
        <is>
          <t>อยู่ในหน้าฟอร์ม</t>
        </is>
      </c>
      <c r="G15" s="13" t="inlineStr">
        <is>
          <t>1. กรอกจำนวนเงินติดลบ
2. กดบันทึก/ส่ง</t>
        </is>
      </c>
      <c r="H15" s="13" t="inlineStr">
        <is>
          <t>-5000</t>
        </is>
      </c>
      <c r="I15" s="13" t="inlineStr">
        <is>
          <t>ระบบจัดการตามกติกา (ปฏิเสธ หรือรับตามที่ออกแบบ) และแสดงผลสอดคล้องกัน</t>
        </is>
      </c>
      <c r="J15" s="10" t="n"/>
      <c r="K15" s="11" t="inlineStr">
        <is>
          <t>Not Run</t>
        </is>
      </c>
      <c r="L15" s="11" t="n"/>
      <c r="M15" s="10" t="n"/>
      <c r="N15" s="10" t="n"/>
      <c r="O15" s="11" t="n"/>
      <c r="P15" s="10" t="n"/>
    </row>
    <row r="16" ht="57.75" customHeight="1">
      <c r="A16" s="8" t="n">
        <v>13</v>
      </c>
      <c r="B16" s="9" t="inlineStr">
        <is>
          <t>TC-013</t>
        </is>
      </c>
      <c r="C16" s="9" t="inlineStr">
        <is>
          <t>Budget Entry (Filler)</t>
        </is>
      </c>
      <c r="D16" s="9" t="inlineStr">
        <is>
          <t>จำนวนเงินขนาดใหญ่มาก / ขอบเขตค่า</t>
        </is>
      </c>
      <c r="E16" s="8" t="inlineStr">
        <is>
          <t>Low</t>
        </is>
      </c>
      <c r="F16" s="9" t="inlineStr">
        <is>
          <t>อยู่ในหน้าฟอร์ม</t>
        </is>
      </c>
      <c r="G16" s="9" t="inlineStr">
        <is>
          <t>1. กรอกเลขหลายหลักมาก เช่น 999,999,999,999</t>
        </is>
      </c>
      <c r="H16" s="9" t="inlineStr">
        <is>
          <t>999999999999</t>
        </is>
      </c>
      <c r="I16" s="9" t="inlineStr">
        <is>
          <t>ระบบไม่ error / ไม่ปัดค่าเพี้ยน แสดงและบันทึกค่าได้ถูกต้อง หรือมีขอบเขตแจ้งชัดเจน</t>
        </is>
      </c>
      <c r="J16" s="10" t="n"/>
      <c r="K16" s="11" t="inlineStr">
        <is>
          <t>Not Run</t>
        </is>
      </c>
      <c r="L16" s="11" t="n"/>
      <c r="M16" s="10" t="n"/>
      <c r="N16" s="10" t="n"/>
      <c r="O16" s="11" t="n"/>
      <c r="P16" s="10" t="n"/>
    </row>
    <row r="17" ht="57.75" customHeight="1">
      <c r="A17" s="12" t="n">
        <v>14</v>
      </c>
      <c r="B17" s="13" t="inlineStr">
        <is>
          <t>TC-014</t>
        </is>
      </c>
      <c r="C17" s="13" t="inlineStr">
        <is>
          <t>Budget Entry (Filler)</t>
        </is>
      </c>
      <c r="D17" s="13" t="inlineStr">
        <is>
          <t>แก้ไขร่างที่บันทึกไว้ก่อนส่ง</t>
        </is>
      </c>
      <c r="E17" s="12" t="inlineStr">
        <is>
          <t>Medium</t>
        </is>
      </c>
      <c r="F17" s="13" t="inlineStr">
        <is>
          <t>มีร่างงบที่บันทึกไว้</t>
        </is>
      </c>
      <c r="G17" s="13" t="inlineStr">
        <is>
          <t>1. เปิดร่างเดิม
2. แก้ตัวเลข
3. บันทึกใหม่</t>
        </is>
      </c>
      <c r="H17" s="13" t="inlineStr">
        <is>
          <t>แก้ 100,000 -&gt; 120,000</t>
        </is>
      </c>
      <c r="I17" s="13" t="inlineStr">
        <is>
          <t>แก้ไขและบันทึกทับได้ ค่าล่าสุดถูกจัดเก็บถูกต้อง</t>
        </is>
      </c>
      <c r="J17" s="10" t="n"/>
      <c r="K17" s="11" t="inlineStr">
        <is>
          <t>Not Run</t>
        </is>
      </c>
      <c r="L17" s="11" t="n"/>
      <c r="M17" s="10" t="n"/>
      <c r="N17" s="10" t="n"/>
      <c r="O17" s="11" t="n"/>
      <c r="P17" s="10" t="n"/>
    </row>
    <row r="18" ht="57.75" customHeight="1">
      <c r="A18" s="8" t="n">
        <v>15</v>
      </c>
      <c r="B18" s="9" t="inlineStr">
        <is>
          <t>TC-015</t>
        </is>
      </c>
      <c r="C18" s="9" t="inlineStr">
        <is>
          <t>Submission / Workflow</t>
        </is>
      </c>
      <c r="D18" s="9" t="inlineStr">
        <is>
          <t>ส่งงบเพื่อขออนุมัติ (Submit)</t>
        </is>
      </c>
      <c r="E18" s="8" t="inlineStr">
        <is>
          <t>High</t>
        </is>
      </c>
      <c r="F18" s="9" t="inlineStr">
        <is>
          <t>กรอกงบครบและถูกต้องแล้ว</t>
        </is>
      </c>
      <c r="G18" s="9" t="inlineStr">
        <is>
          <t>1. ตรวจข้อมูล
2. กดส่ง (Submit)
3. ยืนยัน</t>
        </is>
      </c>
      <c r="H18" s="9" t="inlineStr">
        <is>
          <t>งบที่กรอกครบ</t>
        </is>
      </c>
      <c r="I18" s="9" t="inlineStr">
        <is>
          <t>ส่งสำเร็จ สถานะเปลี่ยนเป็น “Waiting for Approval” และส่งเข้าคิว Approver1</t>
        </is>
      </c>
      <c r="J18" s="10" t="n"/>
      <c r="K18" s="11" t="inlineStr">
        <is>
          <t>Not Run</t>
        </is>
      </c>
      <c r="L18" s="11" t="n"/>
      <c r="M18" s="10" t="n"/>
      <c r="N18" s="10" t="n"/>
      <c r="O18" s="11" t="n"/>
      <c r="P18" s="10" t="n"/>
    </row>
    <row r="19" ht="57.75" customHeight="1">
      <c r="A19" s="12" t="n">
        <v>16</v>
      </c>
      <c r="B19" s="13" t="inlineStr">
        <is>
          <t>TC-016</t>
        </is>
      </c>
      <c r="C19" s="13" t="inlineStr">
        <is>
          <t>Submission / Workflow</t>
        </is>
      </c>
      <c r="D19" s="13" t="inlineStr">
        <is>
          <t>Filler แก้ไขไม่ได้หลังส่งแล้ว</t>
        </is>
      </c>
      <c r="E19" s="12" t="inlineStr">
        <is>
          <t>High</t>
        </is>
      </c>
      <c r="F19" s="13" t="inlineStr">
        <is>
          <t>ส่งงบเข้าอนุมัติแล้ว</t>
        </is>
      </c>
      <c r="G19" s="13" t="inlineStr">
        <is>
          <t>1. เปิดรายการที่ส่งแล้ว
2. พยายามแก้ไขค่า</t>
        </is>
      </c>
      <c r="H19" s="13" t="inlineStr">
        <is>
          <t>-</t>
        </is>
      </c>
      <c r="I19" s="13" t="inlineStr">
        <is>
          <t>ช่องถูกล็อก แก้ไขไม่ได้ (read-only) จนกว่าจะถูกตีกลับ</t>
        </is>
      </c>
      <c r="J19" s="10" t="n"/>
      <c r="K19" s="11" t="inlineStr">
        <is>
          <t>Not Run</t>
        </is>
      </c>
      <c r="L19" s="11" t="n"/>
      <c r="M19" s="10" t="n"/>
      <c r="N19" s="10" t="n"/>
      <c r="O19" s="11" t="n"/>
      <c r="P19" s="10" t="n"/>
    </row>
    <row r="20" ht="57.75" customHeight="1">
      <c r="A20" s="8" t="n">
        <v>17</v>
      </c>
      <c r="B20" s="9" t="inlineStr">
        <is>
          <t>TC-017</t>
        </is>
      </c>
      <c r="C20" s="9" t="inlineStr">
        <is>
          <t>Submission / Workflow</t>
        </is>
      </c>
      <c r="D20" s="9" t="inlineStr">
        <is>
          <t>แจ้งเตือนถึง Approver หลังส่ง</t>
        </is>
      </c>
      <c r="E20" s="8" t="inlineStr">
        <is>
          <t>Medium</t>
        </is>
      </c>
      <c r="F20" s="9" t="inlineStr">
        <is>
          <t>Filler ส่งงบแล้ว</t>
        </is>
      </c>
      <c r="G20" s="9" t="inlineStr">
        <is>
          <t>1. ล็อกอินเป็น Approver1
2. ตรวจ inbox/รายการรออนุมัติ (และอีเมลถ้ามี)</t>
        </is>
      </c>
      <c r="H20" s="9" t="inlineStr">
        <is>
          <t>-</t>
        </is>
      </c>
      <c r="I20" s="9" t="inlineStr">
        <is>
          <t>Approver1 เห็นรายการที่รออนุมัติของแผนก Data Analytic (และได้รับแจ้งเตือนตามที่ออกแบบ)</t>
        </is>
      </c>
      <c r="J20" s="10" t="n"/>
      <c r="K20" s="11" t="inlineStr">
        <is>
          <t>Not Run</t>
        </is>
      </c>
      <c r="L20" s="11" t="n"/>
      <c r="M20" s="10" t="n"/>
      <c r="N20" s="10" t="n"/>
      <c r="O20" s="11" t="n"/>
      <c r="P20" s="10" t="n"/>
    </row>
    <row r="21" ht="57.75" customHeight="1">
      <c r="A21" s="12" t="n">
        <v>18</v>
      </c>
      <c r="B21" s="13" t="inlineStr">
        <is>
          <t>TC-018</t>
        </is>
      </c>
      <c r="C21" s="13" t="inlineStr">
        <is>
          <t>Submission / Workflow</t>
        </is>
      </c>
      <c r="D21" s="13" t="inlineStr">
        <is>
          <t>สถานะแสดงตรงกันทั้งฝั่ง Filler และ Approver</t>
        </is>
      </c>
      <c r="E21" s="12" t="inlineStr">
        <is>
          <t>Medium</t>
        </is>
      </c>
      <c r="F21" s="13" t="inlineStr">
        <is>
          <t>ส่งงบแล้ว</t>
        </is>
      </c>
      <c r="G21" s="13" t="inlineStr">
        <is>
          <t>1. ดูสถานะฝั่ง Filler
2. ดูสถานะฝั่ง Approver</t>
        </is>
      </c>
      <c r="H21" s="13" t="inlineStr">
        <is>
          <t>-</t>
        </is>
      </c>
      <c r="I21" s="13" t="inlineStr">
        <is>
          <t>สถานะตรงกันทั้งสองฝั่ง (Waiting for Approval)</t>
        </is>
      </c>
      <c r="J21" s="10" t="n"/>
      <c r="K21" s="11" t="inlineStr">
        <is>
          <t>Not Run</t>
        </is>
      </c>
      <c r="L21" s="11" t="n"/>
      <c r="M21" s="10" t="n"/>
      <c r="N21" s="10" t="n"/>
      <c r="O21" s="11" t="n"/>
      <c r="P21" s="10" t="n"/>
    </row>
    <row r="22" ht="57.75" customHeight="1">
      <c r="A22" s="8" t="n">
        <v>19</v>
      </c>
      <c r="B22" s="9" t="inlineStr">
        <is>
          <t>TC-019</t>
        </is>
      </c>
      <c r="C22" s="9" t="inlineStr">
        <is>
          <t>Approval (Approver1)</t>
        </is>
      </c>
      <c r="D22" s="9" t="inlineStr">
        <is>
          <t>Approver ดูรายละเอียดงบที่ส่งมา</t>
        </is>
      </c>
      <c r="E22" s="8" t="inlineStr">
        <is>
          <t>High</t>
        </is>
      </c>
      <c r="F22" s="9" t="inlineStr">
        <is>
          <t>มีรายการรออนุมัติ</t>
        </is>
      </c>
      <c r="G22" s="9" t="inlineStr">
        <is>
          <t>1. ล็อกอิน Approver1
2. เปิดรายการที่ Pornthip ส่ง</t>
        </is>
      </c>
      <c r="H22" s="9" t="inlineStr">
        <is>
          <t>-</t>
        </is>
      </c>
      <c r="I22" s="9" t="inlineStr">
        <is>
          <t>แสดงรายละเอียดงบครบถ้วน ตรงกับที่ Filler กรอก/ส่ง</t>
        </is>
      </c>
      <c r="J22" s="10" t="n"/>
      <c r="K22" s="11" t="inlineStr">
        <is>
          <t>Not Run</t>
        </is>
      </c>
      <c r="L22" s="11" t="n"/>
      <c r="M22" s="10" t="n"/>
      <c r="N22" s="10" t="n"/>
      <c r="O22" s="11" t="n"/>
      <c r="P22" s="10" t="n"/>
    </row>
    <row r="23" ht="57.75" customHeight="1">
      <c r="A23" s="12" t="n">
        <v>20</v>
      </c>
      <c r="B23" s="13" t="inlineStr">
        <is>
          <t>TC-020</t>
        </is>
      </c>
      <c r="C23" s="13" t="inlineStr">
        <is>
          <t>Approval (Approver1)</t>
        </is>
      </c>
      <c r="D23" s="13" t="inlineStr">
        <is>
          <t>อนุมัติงบ (Approve)</t>
        </is>
      </c>
      <c r="E23" s="12" t="inlineStr">
        <is>
          <t>High</t>
        </is>
      </c>
      <c r="F23" s="13" t="inlineStr">
        <is>
          <t>เปิดรายการรออนุมัติอยู่</t>
        </is>
      </c>
      <c r="G23" s="13" t="inlineStr">
        <is>
          <t>1. ตรวจรายละเอียด
2. กด Approve
3. ยืนยัน</t>
        </is>
      </c>
      <c r="H23" s="13" t="inlineStr">
        <is>
          <t>-</t>
        </is>
      </c>
      <c r="I23" s="13" t="inlineStr">
        <is>
          <t>สถานะเปลี่ยนเป็น Approved; Filler เห็นสถานะอัปเดต; บันทึกผู้อนุมัติ+เวลา</t>
        </is>
      </c>
      <c r="J23" s="10" t="n"/>
      <c r="K23" s="11" t="inlineStr">
        <is>
          <t>Not Run</t>
        </is>
      </c>
      <c r="L23" s="11" t="n"/>
      <c r="M23" s="10" t="n"/>
      <c r="N23" s="10" t="n"/>
      <c r="O23" s="11" t="n"/>
      <c r="P23" s="10" t="n"/>
    </row>
    <row r="24" ht="57.75" customHeight="1">
      <c r="A24" s="8" t="n">
        <v>21</v>
      </c>
      <c r="B24" s="9" t="inlineStr">
        <is>
          <t>TC-021</t>
        </is>
      </c>
      <c r="C24" s="9" t="inlineStr">
        <is>
          <t>Approval (Approver1)</t>
        </is>
      </c>
      <c r="D24" s="9" t="inlineStr">
        <is>
          <t>ตีกลับ/ไม่อนุมัติ พร้อมเหตุผล (Reject)</t>
        </is>
      </c>
      <c r="E24" s="8" t="inlineStr">
        <is>
          <t>High</t>
        </is>
      </c>
      <c r="F24" s="9" t="inlineStr">
        <is>
          <t>เปิดรายการรออนุมัติอยู่</t>
        </is>
      </c>
      <c r="G24" s="9" t="inlineStr">
        <is>
          <t>1. กด Reject/ตีกลับ
2. กรอกเหตุผล
3. ยืนยัน</t>
        </is>
      </c>
      <c r="H24" s="9" t="inlineStr">
        <is>
          <t>เหตุผล: ตัวเลขหมวด X ผิด</t>
        </is>
      </c>
      <c r="I24" s="9" t="inlineStr">
        <is>
          <t>สถานะเปลี่ยนเป็น Rejected/Returned; ความคิดเห็นถูกบันทึก; ส่งกลับให้ Filler แก้ไข</t>
        </is>
      </c>
      <c r="J24" s="10" t="n"/>
      <c r="K24" s="11" t="inlineStr">
        <is>
          <t>Not Run</t>
        </is>
      </c>
      <c r="L24" s="11" t="n"/>
      <c r="M24" s="10" t="n"/>
      <c r="N24" s="10" t="n"/>
      <c r="O24" s="11" t="n"/>
      <c r="P24" s="10" t="n"/>
    </row>
    <row r="25" ht="57.75" customHeight="1">
      <c r="A25" s="12" t="n">
        <v>22</v>
      </c>
      <c r="B25" s="13" t="inlineStr">
        <is>
          <t>TC-022</t>
        </is>
      </c>
      <c r="C25" s="13" t="inlineStr">
        <is>
          <t>Approval (Approver1)</t>
        </is>
      </c>
      <c r="D25" s="13" t="inlineStr">
        <is>
          <t>บังคับกรอกเหตุผลเมื่อ Reject</t>
        </is>
      </c>
      <c r="E25" s="12" t="inlineStr">
        <is>
          <t>Medium</t>
        </is>
      </c>
      <c r="F25" s="13" t="inlineStr">
        <is>
          <t>เปิดรายการรออนุมัติอยู่</t>
        </is>
      </c>
      <c r="G25" s="13" t="inlineStr">
        <is>
          <t>1. กด Reject โดยไม่กรอกเหตุผล
2. ยืนยัน</t>
        </is>
      </c>
      <c r="H25" s="13" t="inlineStr">
        <is>
          <t>เหตุผล = ว่าง</t>
        </is>
      </c>
      <c r="I25" s="13" t="inlineStr">
        <is>
          <t>ระบบไม่ยอมให้ Reject จนกว่าจะกรอกเหตุผล (ถ้ากำหนดให้บังคับ)</t>
        </is>
      </c>
      <c r="J25" s="10" t="n"/>
      <c r="K25" s="11" t="inlineStr">
        <is>
          <t>Not Run</t>
        </is>
      </c>
      <c r="L25" s="11" t="n"/>
      <c r="M25" s="10" t="n"/>
      <c r="N25" s="10" t="n"/>
      <c r="O25" s="11" t="n"/>
      <c r="P25" s="10" t="n"/>
    </row>
    <row r="26" ht="57.75" customHeight="1">
      <c r="A26" s="8" t="n">
        <v>23</v>
      </c>
      <c r="B26" s="9" t="inlineStr">
        <is>
          <t>TC-023</t>
        </is>
      </c>
      <c r="C26" s="9" t="inlineStr">
        <is>
          <t>Approval (Approver1)</t>
        </is>
      </c>
      <c r="D26" s="9" t="inlineStr">
        <is>
          <t>Filler แก้ไขและส่งใหม่หลังถูกตีกลับ</t>
        </is>
      </c>
      <c r="E26" s="8" t="inlineStr">
        <is>
          <t>High</t>
        </is>
      </c>
      <c r="F26" s="9" t="inlineStr">
        <is>
          <t>งบถูกตีกลับให้ Filler</t>
        </is>
      </c>
      <c r="G26" s="9" t="inlineStr">
        <is>
          <t>1. ล็อกอิน Filler
2. เปิดรายการที่ถูกตีกลับ
3. แก้ไข
4. ส่งใหม่</t>
        </is>
      </c>
      <c r="H26" s="9" t="inlineStr">
        <is>
          <t>แก้ตามคอมเมนต์</t>
        </is>
      </c>
      <c r="I26" s="9" t="inlineStr">
        <is>
          <t>แก้ไขได้อีกครั้ง ส่งใหม่แล้วกลับเข้าคิวอนุมัติ; เห็นประวัติ/คอมเมนต์เดิม</t>
        </is>
      </c>
      <c r="J26" s="10" t="n"/>
      <c r="K26" s="11" t="inlineStr">
        <is>
          <t>Not Run</t>
        </is>
      </c>
      <c r="L26" s="11" t="n"/>
      <c r="M26" s="10" t="n"/>
      <c r="N26" s="10" t="n"/>
      <c r="O26" s="11" t="n"/>
      <c r="P26" s="10" t="n"/>
    </row>
    <row r="27" ht="57.75" customHeight="1">
      <c r="A27" s="12" t="n">
        <v>24</v>
      </c>
      <c r="B27" s="13" t="inlineStr">
        <is>
          <t>TC-024</t>
        </is>
      </c>
      <c r="C27" s="13" t="inlineStr">
        <is>
          <t>Approval (Approver1)</t>
        </is>
      </c>
      <c r="D27" s="13" t="inlineStr">
        <is>
          <t>Approver ไม่เห็นงบของแผนกอื่น</t>
        </is>
      </c>
      <c r="E27" s="12" t="inlineStr">
        <is>
          <t>High</t>
        </is>
      </c>
      <c r="F27" s="13" t="inlineStr">
        <is>
          <t>มีงบหลายแผนกในระบบ</t>
        </is>
      </c>
      <c r="G27" s="13" t="inlineStr">
        <is>
          <t>1. ล็อกอิน Approver1 ของ Data Analytic
2. ดูรายการรออนุมัติ</t>
        </is>
      </c>
      <c r="H27" s="13" t="inlineStr">
        <is>
          <t>-</t>
        </is>
      </c>
      <c r="I27" s="13" t="inlineStr">
        <is>
          <t>เห็นเฉพาะงบที่อยู่ในสิทธิ์ตนเอง ไม่เห็น/อนุมัติของแผนกที่ไม่เกี่ยวข้อง</t>
        </is>
      </c>
      <c r="J27" s="10" t="n"/>
      <c r="K27" s="11" t="inlineStr">
        <is>
          <t>Not Run</t>
        </is>
      </c>
      <c r="L27" s="11" t="n"/>
      <c r="M27" s="10" t="n"/>
      <c r="N27" s="10" t="n"/>
      <c r="O27" s="11" t="n"/>
      <c r="P27" s="10" t="n"/>
    </row>
    <row r="28" ht="57.75" customHeight="1">
      <c r="A28" s="8" t="n">
        <v>25</v>
      </c>
      <c r="B28" s="9" t="inlineStr">
        <is>
          <t>TC-025</t>
        </is>
      </c>
      <c r="C28" s="9" t="inlineStr">
        <is>
          <t>Business Rules</t>
        </is>
      </c>
      <c r="D28" s="9" t="inlineStr">
        <is>
          <t>ผลรวมส่งเข้าอนุมัติ = ผลรวมที่ Filler กรอก</t>
        </is>
      </c>
      <c r="E28" s="8" t="inlineStr">
        <is>
          <t>High</t>
        </is>
      </c>
      <c r="F28" s="9" t="inlineStr">
        <is>
          <t>ส่งงบแล้ว</t>
        </is>
      </c>
      <c r="G28" s="9" t="inlineStr">
        <is>
          <t>1. เทียบยอดรวมฝั่ง Filler กับที่ Approver เห็น</t>
        </is>
      </c>
      <c r="H28" s="9" t="inlineStr">
        <is>
          <t>-</t>
        </is>
      </c>
      <c r="I28" s="9" t="inlineStr">
        <is>
          <t>ยอดรวมตรงกันทุกบาท ไม่มีการปัด/คลาดเคลื่อน</t>
        </is>
      </c>
      <c r="J28" s="10" t="n"/>
      <c r="K28" s="11" t="inlineStr">
        <is>
          <t>Not Run</t>
        </is>
      </c>
      <c r="L28" s="11" t="n"/>
      <c r="M28" s="10" t="n"/>
      <c r="N28" s="10" t="n"/>
      <c r="O28" s="11" t="n"/>
      <c r="P28" s="10" t="n"/>
    </row>
    <row r="29" ht="57.75" customHeight="1">
      <c r="A29" s="12" t="n">
        <v>26</v>
      </c>
      <c r="B29" s="13" t="inlineStr">
        <is>
          <t>TC-026</t>
        </is>
      </c>
      <c r="C29" s="13" t="inlineStr">
        <is>
          <t>Business Rules</t>
        </is>
      </c>
      <c r="D29" s="13" t="inlineStr">
        <is>
          <t>ป้องกันส่งซ้ำของรอบ/แผนกเดิม</t>
        </is>
      </c>
      <c r="E29" s="12" t="inlineStr">
        <is>
          <t>Medium</t>
        </is>
      </c>
      <c r="F29" s="13" t="inlineStr">
        <is>
          <t>ส่งงบของรอบนี้ไปแล้ว</t>
        </is>
      </c>
      <c r="G29" s="13" t="inlineStr">
        <is>
          <t>1. พยายามสร้าง/ส่งงบซ้ำสำหรับแผนก+รอบเดียวกัน</t>
        </is>
      </c>
      <c r="H29" s="13" t="inlineStr">
        <is>
          <t>-</t>
        </is>
      </c>
      <c r="I29" s="13" t="inlineStr">
        <is>
          <t>ระบบป้องกันการส่งซ้ำ หรือแจ้งเตือนตามกติกาที่ออกแบบ</t>
        </is>
      </c>
      <c r="J29" s="10" t="n"/>
      <c r="K29" s="11" t="inlineStr">
        <is>
          <t>Not Run</t>
        </is>
      </c>
      <c r="L29" s="11" t="n"/>
      <c r="M29" s="10" t="n"/>
      <c r="N29" s="10" t="n"/>
      <c r="O29" s="11" t="n"/>
      <c r="P29" s="10" t="n"/>
    </row>
    <row r="30" ht="57.75" customHeight="1">
      <c r="A30" s="8" t="n">
        <v>27</v>
      </c>
      <c r="B30" s="9" t="inlineStr">
        <is>
          <t>TC-027</t>
        </is>
      </c>
      <c r="C30" s="9" t="inlineStr">
        <is>
          <t>Business Rules</t>
        </is>
      </c>
      <c r="D30" s="9" t="inlineStr">
        <is>
          <t>งบเทียบเพดาน/วงเงินที่กำหนด (ถ้ามี)</t>
        </is>
      </c>
      <c r="E30" s="8" t="inlineStr">
        <is>
          <t>Medium</t>
        </is>
      </c>
      <c r="F30" s="9" t="inlineStr">
        <is>
          <t>มีการตั้งเพดานงบ</t>
        </is>
      </c>
      <c r="G30" s="9" t="inlineStr">
        <is>
          <t>1. กรอกยอดเกินเพดาน
2. ส่ง</t>
        </is>
      </c>
      <c r="H30" s="9" t="inlineStr">
        <is>
          <t>ยอด &gt; เพดาน</t>
        </is>
      </c>
      <c r="I30" s="9" t="inlineStr">
        <is>
          <t>ระบบเตือน/บล็อกตามกติกาเพดานงบ (ถ้ามีเงื่อนไขนี้)</t>
        </is>
      </c>
      <c r="J30" s="10" t="n"/>
      <c r="K30" s="11" t="inlineStr">
        <is>
          <t>Not Run</t>
        </is>
      </c>
      <c r="L30" s="11" t="n"/>
      <c r="M30" s="10" t="n"/>
      <c r="N30" s="10" t="n"/>
      <c r="O30" s="11" t="n"/>
      <c r="P30" s="10" t="n"/>
    </row>
    <row r="31" ht="57.75" customHeight="1">
      <c r="A31" s="12" t="n">
        <v>28</v>
      </c>
      <c r="B31" s="13" t="inlineStr">
        <is>
          <t>TC-028</t>
        </is>
      </c>
      <c r="C31" s="13" t="inlineStr">
        <is>
          <t>Reports / Export</t>
        </is>
      </c>
      <c r="D31" s="13" t="inlineStr">
        <is>
          <t>ส่งออกข้อมูลงบ (Excel/PDF)</t>
        </is>
      </c>
      <c r="E31" s="12" t="inlineStr">
        <is>
          <t>Medium</t>
        </is>
      </c>
      <c r="F31" s="13" t="inlineStr">
        <is>
          <t>มีข้อมูลงบในระบบ</t>
        </is>
      </c>
      <c r="G31" s="13" t="inlineStr">
        <is>
          <t>1. เปิดหน้ารายงาน
2. กด Export</t>
        </is>
      </c>
      <c r="H31" s="13" t="inlineStr">
        <is>
          <t>-</t>
        </is>
      </c>
      <c r="I31" s="13" t="inlineStr">
        <is>
          <t>ไฟล์ export ถูกต้อง ตัวเลข/หัวข้อ/หน่วยตรงกับหน้าจอ</t>
        </is>
      </c>
      <c r="J31" s="10" t="n"/>
      <c r="K31" s="11" t="inlineStr">
        <is>
          <t>Not Run</t>
        </is>
      </c>
      <c r="L31" s="11" t="n"/>
      <c r="M31" s="10" t="n"/>
      <c r="N31" s="10" t="n"/>
      <c r="O31" s="11" t="n"/>
      <c r="P31" s="10" t="n"/>
    </row>
    <row r="32" ht="57.75" customHeight="1">
      <c r="A32" s="8" t="n">
        <v>29</v>
      </c>
      <c r="B32" s="9" t="inlineStr">
        <is>
          <t>TC-029</t>
        </is>
      </c>
      <c r="C32" s="9" t="inlineStr">
        <is>
          <t>Reports / Export</t>
        </is>
      </c>
      <c r="D32" s="9" t="inlineStr">
        <is>
          <t>ดูประวัติ/สถานะรายการ (History/Audit)</t>
        </is>
      </c>
      <c r="E32" s="8" t="inlineStr">
        <is>
          <t>Low</t>
        </is>
      </c>
      <c r="F32" s="9" t="inlineStr">
        <is>
          <t>มีรายการที่ผ่าน workflow แล้ว</t>
        </is>
      </c>
      <c r="G32" s="9" t="inlineStr">
        <is>
          <t>1. เปิดประวัติของรายการ</t>
        </is>
      </c>
      <c r="H32" s="9" t="inlineStr">
        <is>
          <t>-</t>
        </is>
      </c>
      <c r="I32" s="9" t="inlineStr">
        <is>
          <t>แสดงลำดับเหตุการณ์ ผู้ทำ เวลา และสถานะครบถ้วน</t>
        </is>
      </c>
      <c r="J32" s="10" t="n"/>
      <c r="K32" s="11" t="inlineStr">
        <is>
          <t>Not Run</t>
        </is>
      </c>
      <c r="L32" s="11" t="n"/>
      <c r="M32" s="10" t="n"/>
      <c r="N32" s="10" t="n"/>
      <c r="O32" s="11" t="n"/>
      <c r="P32" s="10" t="n"/>
    </row>
    <row r="33" ht="57.75" customHeight="1">
      <c r="A33" s="12" t="n">
        <v>30</v>
      </c>
      <c r="B33" s="13" t="inlineStr">
        <is>
          <t>TC-030</t>
        </is>
      </c>
      <c r="C33" s="13" t="inlineStr">
        <is>
          <t>UI / UX</t>
        </is>
      </c>
      <c r="D33" s="13" t="inlineStr">
        <is>
          <t>ข้อความ/ป้ายกำกับภาษา (ไทย/อังกฤษ) ถูกต้อง</t>
        </is>
      </c>
      <c r="E33" s="12" t="inlineStr">
        <is>
          <t>Low</t>
        </is>
      </c>
      <c r="F33" s="13" t="inlineStr">
        <is>
          <t>อยู่ในระบบ</t>
        </is>
      </c>
      <c r="G33" s="13" t="inlineStr">
        <is>
          <t>1. ตรวจ label/ปุ่ม/ข้อความทุกหน้า</t>
        </is>
      </c>
      <c r="H33" s="13" t="inlineStr">
        <is>
          <t>-</t>
        </is>
      </c>
      <c r="I33" s="13" t="inlineStr">
        <is>
          <t>ข้อความอ่านเข้าใจ ไม่มีคำผิด/แสดงผลเพี้ยน (ภาษาไทยไม่กลายเป็น ??? )</t>
        </is>
      </c>
      <c r="J33" s="10" t="n"/>
      <c r="K33" s="11" t="inlineStr">
        <is>
          <t>Not Run</t>
        </is>
      </c>
      <c r="L33" s="11" t="n"/>
      <c r="M33" s="10" t="n"/>
      <c r="N33" s="10" t="n"/>
      <c r="O33" s="11" t="n"/>
      <c r="P33" s="10" t="n"/>
    </row>
    <row r="34" ht="57.75" customHeight="1">
      <c r="A34" s="8" t="n">
        <v>31</v>
      </c>
      <c r="B34" s="9" t="inlineStr">
        <is>
          <t>TC-031</t>
        </is>
      </c>
      <c r="C34" s="9" t="inlineStr">
        <is>
          <t>UI / UX</t>
        </is>
      </c>
      <c r="D34" s="9" t="inlineStr">
        <is>
          <t>ข้อความ error ชัดเจนและเป็นมิตร</t>
        </is>
      </c>
      <c r="E34" s="8" t="inlineStr">
        <is>
          <t>Low</t>
        </is>
      </c>
      <c r="F34" s="9" t="inlineStr">
        <is>
          <t>อยู่ในระบบ</t>
        </is>
      </c>
      <c r="G34" s="9" t="inlineStr">
        <is>
          <t>1. ทำให้เกิด error หลายแบบ
2. อ่านข้อความที่แสดง</t>
        </is>
      </c>
      <c r="H34" s="9" t="inlineStr">
        <is>
          <t>-</t>
        </is>
      </c>
      <c r="I34" s="9" t="inlineStr">
        <is>
          <t>ข้อความ error บอกสาเหตุ/วิธีแก้ ไม่แสดง technical/stack trace ให้ผู้ใช้</t>
        </is>
      </c>
      <c r="J34" s="10" t="n"/>
      <c r="K34" s="11" t="inlineStr">
        <is>
          <t>Not Run</t>
        </is>
      </c>
      <c r="L34" s="11" t="n"/>
      <c r="M34" s="10" t="n"/>
      <c r="N34" s="10" t="n"/>
      <c r="O34" s="11" t="n"/>
      <c r="P34" s="10" t="n"/>
    </row>
    <row r="35" ht="57.75" customHeight="1">
      <c r="A35" s="12" t="n">
        <v>32</v>
      </c>
      <c r="B35" s="13" t="inlineStr">
        <is>
          <t>TC-032</t>
        </is>
      </c>
      <c r="C35" s="13" t="inlineStr">
        <is>
          <t>UI / UX</t>
        </is>
      </c>
      <c r="D35" s="13" t="inlineStr">
        <is>
          <t>แสดงผลบนหน้าจอ/เบราว์เซอร์ต่างกัน</t>
        </is>
      </c>
      <c r="E35" s="12" t="inlineStr">
        <is>
          <t>Low</t>
        </is>
      </c>
      <c r="F35" s="13" t="inlineStr">
        <is>
          <t>-</t>
        </is>
      </c>
      <c r="G35" s="13" t="inlineStr">
        <is>
          <t>1. เปิดบน Chrome/Edge และขนาดจอต่างกัน</t>
        </is>
      </c>
      <c r="H35" s="13" t="inlineStr">
        <is>
          <t>Chrome, Edge</t>
        </is>
      </c>
      <c r="I35" s="13" t="inlineStr">
        <is>
          <t>เลย์เอาต์ไม่เพี้ยน ปุ่ม/ตารางใช้งานได้ครบ</t>
        </is>
      </c>
      <c r="J35" s="10" t="n"/>
      <c r="K35" s="11" t="inlineStr">
        <is>
          <t>Not Run</t>
        </is>
      </c>
      <c r="L35" s="11" t="n"/>
      <c r="M35" s="10" t="n"/>
      <c r="N35" s="10" t="n"/>
      <c r="O35" s="11" t="n"/>
      <c r="P35" s="10" t="n"/>
    </row>
    <row r="36" ht="57.75" customHeight="1">
      <c r="A36" s="8" t="n">
        <v>33</v>
      </c>
      <c r="B36" s="9" t="inlineStr">
        <is>
          <t>TC-033</t>
        </is>
      </c>
      <c r="C36" s="9" t="inlineStr">
        <is>
          <t>Security</t>
        </is>
      </c>
      <c r="D36" s="9" t="inlineStr">
        <is>
          <t>เข้าถึงหน้า/URL โดยไม่ล็อกอิน</t>
        </is>
      </c>
      <c r="E36" s="8" t="inlineStr">
        <is>
          <t>High</t>
        </is>
      </c>
      <c r="F36" s="9" t="inlineStr">
        <is>
          <t>ยังไม่ล็อกอิน</t>
        </is>
      </c>
      <c r="G36" s="9" t="inlineStr">
        <is>
          <t>1. วาง URL ของหน้าภายในโดยตรงในเบราว์เซอร์</t>
        </is>
      </c>
      <c r="H36" s="9" t="inlineStr">
        <is>
          <t>deep-link URL</t>
        </is>
      </c>
      <c r="I36" s="9" t="inlineStr">
        <is>
          <t>ระบบ redirect ไปหน้า Sign in ไม่ให้เข้าถึงข้อมูลโดยไม่ยืนยันตัวตน</t>
        </is>
      </c>
      <c r="J36" s="10" t="n"/>
      <c r="K36" s="11" t="inlineStr">
        <is>
          <t>Not Run</t>
        </is>
      </c>
      <c r="L36" s="11" t="n"/>
      <c r="M36" s="10" t="n"/>
      <c r="N36" s="10" t="n"/>
      <c r="O36" s="11" t="n"/>
      <c r="P36" s="10" t="n"/>
    </row>
    <row r="37" ht="57.75" customHeight="1">
      <c r="A37" s="12" t="n">
        <v>34</v>
      </c>
      <c r="B37" s="13" t="inlineStr">
        <is>
          <t>TC-034</t>
        </is>
      </c>
      <c r="C37" s="13" t="inlineStr">
        <is>
          <t>Security</t>
        </is>
      </c>
      <c r="D37" s="13" t="inlineStr">
        <is>
          <t>Filler เข้าถึงฟังก์ชันอนุมัติไม่ได้</t>
        </is>
      </c>
      <c r="E37" s="12" t="inlineStr">
        <is>
          <t>High</t>
        </is>
      </c>
      <c r="F37" s="13" t="inlineStr">
        <is>
          <t>ล็อกอินเป็น Filler</t>
        </is>
      </c>
      <c r="G37" s="13" t="inlineStr">
        <is>
          <t>1. พยายามเข้า URL/ปุ่มของ Approver โดยตรง</t>
        </is>
      </c>
      <c r="H37" s="13" t="inlineStr">
        <is>
          <t>-</t>
        </is>
      </c>
      <c r="I37" s="13" t="inlineStr">
        <is>
          <t>ระบบปฏิเสธ (ไม่มีสิทธิ์) — ป้องกัน privilege escalation</t>
        </is>
      </c>
      <c r="J37" s="10" t="n"/>
      <c r="K37" s="11" t="inlineStr">
        <is>
          <t>Not Run</t>
        </is>
      </c>
      <c r="L37" s="11" t="n"/>
      <c r="M37" s="10" t="n"/>
      <c r="N37" s="10" t="n"/>
      <c r="O37" s="11" t="n"/>
      <c r="P37" s="10" t="n"/>
    </row>
    <row r="38" ht="57.75" customHeight="1">
      <c r="A38" s="8" t="n">
        <v>35</v>
      </c>
      <c r="B38" s="9" t="inlineStr">
        <is>
          <t>TC-035</t>
        </is>
      </c>
      <c r="C38" s="9" t="inlineStr">
        <is>
          <t>Security</t>
        </is>
      </c>
      <c r="D38" s="9" t="inlineStr">
        <is>
          <t>ทดสอบ input พิเศษ (injection/XSS) ในช่องข้อความ</t>
        </is>
      </c>
      <c r="E38" s="8" t="inlineStr">
        <is>
          <t>Medium</t>
        </is>
      </c>
      <c r="F38" s="9" t="inlineStr">
        <is>
          <t>อยู่ในหน้าฟอร์ม/ช่องคอมเมนต์</t>
        </is>
      </c>
      <c r="G38" s="9" t="inlineStr">
        <is>
          <t>1. กรอก &lt;script&gt;alert(1)&lt;/script&gt; และ ' OR '1'='1
2. บันทึก/แสดงผล</t>
        </is>
      </c>
      <c r="H38" s="9" t="inlineStr">
        <is>
          <t>payload ทดสอบ</t>
        </is>
      </c>
      <c r="I38" s="9" t="inlineStr">
        <is>
          <t>ระบบ sanitize/escape ค่า ไม่รัน script และไม่กระทบฐานข้อมูล</t>
        </is>
      </c>
      <c r="J38" s="10" t="n"/>
      <c r="K38" s="11" t="inlineStr">
        <is>
          <t>Not Run</t>
        </is>
      </c>
      <c r="L38" s="11" t="n"/>
      <c r="M38" s="10" t="n"/>
      <c r="N38" s="10" t="n"/>
      <c r="O38" s="11" t="n"/>
      <c r="P38" s="10" t="n"/>
    </row>
    <row r="39" ht="57.75" customHeight="1">
      <c r="A39" s="12" t="n">
        <v>36</v>
      </c>
      <c r="B39" s="13" t="inlineStr">
        <is>
          <t>TC-036</t>
        </is>
      </c>
      <c r="C39" s="13" t="inlineStr">
        <is>
          <t>Data Integrity</t>
        </is>
      </c>
      <c r="D39" s="13" t="inlineStr">
        <is>
          <t>แก้ไขพร้อมกัน 2 คน (concurrent)</t>
        </is>
      </c>
      <c r="E39" s="12" t="inlineStr">
        <is>
          <t>Low</t>
        </is>
      </c>
      <c r="F39" s="13" t="inlineStr">
        <is>
          <t>งบเดียวกันเปิดโดย 2 session</t>
        </is>
      </c>
      <c r="G39" s="13" t="inlineStr">
        <is>
          <t>1. เปิดงบเดียวกันสองที่
2. ต่างฝ่ายต่างบันทึก</t>
        </is>
      </c>
      <c r="H39" s="13" t="inlineStr">
        <is>
          <t>-</t>
        </is>
      </c>
      <c r="I39" s="13" t="inlineStr">
        <is>
          <t>ระบบจัดการ conflict อย่างเหมาะสม (ล็อก/แจ้งเตือน) ไม่ทำให้ข้อมูลทับกันเงียบๆ</t>
        </is>
      </c>
      <c r="J39" s="10" t="n"/>
      <c r="K39" s="11" t="inlineStr">
        <is>
          <t>Not Run</t>
        </is>
      </c>
      <c r="L39" s="11" t="n"/>
      <c r="M39" s="10" t="n"/>
      <c r="N39" s="10" t="n"/>
      <c r="O39" s="11" t="n"/>
      <c r="P39" s="10" t="n"/>
    </row>
    <row r="40" ht="57.75" customHeight="1">
      <c r="A40" s="8" t="n">
        <v>37</v>
      </c>
      <c r="B40" s="9" t="inlineStr">
        <is>
          <t>TC-037</t>
        </is>
      </c>
      <c r="C40" s="9" t="inlineStr">
        <is>
          <t>Data Integrity</t>
        </is>
      </c>
      <c r="D40" s="9" t="inlineStr">
        <is>
          <t>ความแม่นยำทศนิยม/การปัดเศษ</t>
        </is>
      </c>
      <c r="E40" s="8" t="inlineStr">
        <is>
          <t>Medium</t>
        </is>
      </c>
      <c r="F40" s="9" t="inlineStr">
        <is>
          <t>กรอกค่ามีทศนิยม</t>
        </is>
      </c>
      <c r="G40" s="9" t="inlineStr">
        <is>
          <t>1. กรอก 33,333.33 x หลายรายการ
2. ตรวจยอดรวม/หลังบันทึก</t>
        </is>
      </c>
      <c r="H40" s="9" t="inlineStr">
        <is>
          <t>33,333.33 x3</t>
        </is>
      </c>
      <c r="I40" s="9" t="inlineStr">
        <is>
          <t>ยอดรวมและค่าที่บันทึกไม่คลาดเคลื่อนจากการปัดเศษ</t>
        </is>
      </c>
      <c r="J40" s="10" t="n"/>
      <c r="K40" s="11" t="inlineStr">
        <is>
          <t>Not Run</t>
        </is>
      </c>
      <c r="L40" s="11" t="n"/>
      <c r="M40" s="10" t="n"/>
      <c r="N40" s="10" t="n"/>
      <c r="O40" s="11" t="n"/>
      <c r="P40" s="10" t="n"/>
    </row>
    <row r="41" ht="57.75" customHeight="1">
      <c r="A41" s="8" t="n">
        <v>38</v>
      </c>
      <c r="B41" s="9" t="inlineStr">
        <is>
          <t>TC-038</t>
        </is>
      </c>
      <c r="C41" s="9" t="inlineStr">
        <is>
          <t>Email Alert / Notification</t>
        </is>
      </c>
      <c r="D41" s="9" t="inlineStr">
        <is>
          <t>อีเมลแจ้งผู้อนุมัติเมื่อมีงบประมาณส่งมาถึงคิวของตน (Submit → Approver)</t>
        </is>
      </c>
      <c r="E41" s="8" t="inlineStr">
        <is>
          <t>High</t>
        </is>
      </c>
      <c r="F41" s="9" t="inlineStr">
        <is>
          <t>ระบบเปิดใช้งานการส่งอีเมลจริง (ไม่ใช่โหมดทดสอบที่ไม่ส่งออก) และผู้อนุมัติขั้นที่ 1 มีอีเมลในฐานข้อมูลพนักงาน</t>
        </is>
      </c>
      <c r="G41" s="9" t="inlineStr">
        <is>
          <t>1. ล็อกอินเป็น Filler (Pornthip)
2. กรอกงบของฝ่าย Data Analytic แล้วกด Submit
3. เปิดกล่องจดหมายของ Approver1 (Laddawan)
4. คลิกลิงก์ในอีเมล</t>
        </is>
      </c>
      <c r="H41" s="9" t="inlineStr">
        <is>
          <t>ฝ่าย Data Analytic ปีงบประมาณ 2027</t>
        </is>
      </c>
      <c r="I41" s="9" t="inlineStr">
        <is>
          <t>Approver1 ได้รับอีเมลจาก CMAN_PowerBI (cmanpowerbi@chememan.com) หัวข้อ “รอการอนุมัติ งบประมาณของฝ่าย Data Analytic ปีงบประมาณ 2027”; เนื้อหาแสดง ฝ่าย / ปีงบประมาณ / ผู้ส่ง / สถานะ ครบถ้วน และลิงก์ในอีเมลเปิดเข้าหน้างบของฝ่ายและปีนั้นได้ถูกต้อง</t>
        </is>
      </c>
      <c r="J41" s="10" t="n"/>
      <c r="K41" s="11" t="inlineStr">
        <is>
          <t>Not Run</t>
        </is>
      </c>
      <c r="L41" s="11" t="n"/>
      <c r="M41" s="10" t="n"/>
      <c r="N41" s="10" t="n"/>
      <c r="O41" s="11" t="n"/>
      <c r="P41" s="10" t="n"/>
    </row>
    <row r="42" ht="57.75" customHeight="1">
      <c r="A42" s="8" t="n">
        <v>39</v>
      </c>
      <c r="B42" s="9" t="inlineStr">
        <is>
          <t>TC-039</t>
        </is>
      </c>
      <c r="C42" s="9" t="inlineStr">
        <is>
          <t>Email Alert / Notification</t>
        </is>
      </c>
      <c r="D42" s="9" t="inlineStr">
        <is>
          <t>อีเมลแจ้งผู้ส่งเมื่องบถูกตีกลับ (Reject) พร้อมเหตุผล</t>
        </is>
      </c>
      <c r="E42" s="8" t="inlineStr">
        <is>
          <t>High</t>
        </is>
      </c>
      <c r="F42" s="9" t="inlineStr">
        <is>
          <t>มีงบสถานะรออนุมัติ และล็อกอินเป็น Approver1 ที่เปิดรายการนั้นอยู่</t>
        </is>
      </c>
      <c r="G42" s="9" t="inlineStr">
        <is>
          <t>1. กด Reject/ตีกลับ พร้อมกรอกเหตุผล
2. เปิดกล่องจดหมายของผู้ส่ง (Pornthip)
3. ตรวจช่อง cc ของอีเมลฉบับนั้น</t>
        </is>
      </c>
      <c r="H42" s="9" t="inlineStr">
        <is>
          <t>เหตุผล: ตัวเลขหมวด X ผิด</t>
        </is>
      </c>
      <c r="I42" s="9" t="inlineStr">
        <is>
          <t>ผู้ส่งได้รับอีเมลหัวข้อ “ถูกตีกลับ งบประมาณของฝ่าย Data Analytic ปีงบประมาณ 2027”; เนื้อหาแสดงเหตุผลที่ผู้อนุมัติกรอกไว้ครบถ้วนตรงกัน; สำเนา (cc) ถึงผู้อนุมัติขั้นที่ 1; มีลิงก์สำหรับแก้ไขและส่งใหม่</t>
        </is>
      </c>
      <c r="J42" s="10" t="n"/>
      <c r="K42" s="11" t="inlineStr">
        <is>
          <t>Not Run</t>
        </is>
      </c>
      <c r="L42" s="11" t="n"/>
      <c r="M42" s="10" t="n"/>
      <c r="N42" s="10" t="n"/>
      <c r="O42" s="11" t="n"/>
      <c r="P42" s="10" t="n"/>
    </row>
    <row r="43" ht="57.75" customHeight="1">
      <c r="A43" s="8" t="n">
        <v>40</v>
      </c>
      <c r="B43" s="9" t="inlineStr">
        <is>
          <t>TC-040</t>
        </is>
      </c>
      <c r="C43" s="9" t="inlineStr">
        <is>
          <t>Email Alert / Notification</t>
        </is>
      </c>
      <c r="D43" s="9" t="inlineStr">
        <is>
          <t>อีเมลแจ้งผู้ส่งเมื่องบได้รับอนุมัติครบทุกขั้น (Approved)</t>
        </is>
      </c>
      <c r="E43" s="8" t="inlineStr">
        <is>
          <t>High</t>
        </is>
      </c>
      <c r="F43" s="9" t="inlineStr">
        <is>
          <t>งบผ่านการอนุมัติมาจนถึงผู้อนุมัติขั้นสุดท้าย</t>
        </is>
      </c>
      <c r="G43" s="9" t="inlineStr">
        <is>
          <t>1. อนุมัติต่อจนครบทุกขั้นของสายอนุมัติ
2. เปิดกล่องจดหมายของผู้ส่ง
3. นับจำนวนอีเมล “ได้รับการอนุมัติ” ที่ได้รับตลอดทั้ง flow</t>
        </is>
      </c>
      <c r="H43" s="9" t="inlineStr">
        <is>
          <t>-</t>
        </is>
      </c>
      <c r="I43" s="9" t="inlineStr">
        <is>
          <t>ผู้ส่งได้รับอีเมลหัวข้อ “ได้รับการอนุมัติ งบประมาณของฝ่าย Data Analytic ปีงบประมาณ 2027” ระบุสถานะ “อนุมัติครบทุกขั้นแล้ว”; สำเนา (cc) ถึงผู้อนุมัติขั้นที่ 1; ส่งเพียงฉบับเดียวตอนอนุมัติขั้นสุดท้าย ไม่ส่งซ้ำทุกครั้งที่มีการอนุมัติระหว่างทาง</t>
        </is>
      </c>
      <c r="J43" s="10" t="n"/>
      <c r="K43" s="11" t="inlineStr">
        <is>
          <t>Not Run</t>
        </is>
      </c>
      <c r="L43" s="11" t="n"/>
      <c r="M43" s="10" t="n"/>
      <c r="N43" s="10" t="n"/>
      <c r="O43" s="11" t="n"/>
      <c r="P43" s="10" t="n"/>
    </row>
    <row r="44" ht="57.75" customHeight="1">
      <c r="A44" s="8" t="n">
        <v>41</v>
      </c>
      <c r="B44" s="9" t="inlineStr">
        <is>
          <t>TC-041</t>
        </is>
      </c>
      <c r="C44" s="9" t="inlineStr">
        <is>
          <t>Email Alert / Notification</t>
        </is>
      </c>
      <c r="D44" s="9" t="inlineStr">
        <is>
          <t>อีเมลแจ้งเมื่อผู้ดูแลระบบดำเนินการแทนผู้อนุมัติที่ค้าง (Step Override)</t>
        </is>
      </c>
      <c r="E44" s="8" t="inlineStr">
        <is>
          <t>Medium</t>
        </is>
      </c>
      <c r="F44" s="9" t="inlineStr">
        <is>
          <t>มีงบค้างอยู่ที่ผู้อนุมัติขั้นที่ 1 และมีบัญชีผู้ดูแลระบบ (Admin)</t>
        </is>
      </c>
      <c r="G44" s="9" t="inlineStr">
        <is>
          <t>1. ล็อกอินเป็น Admin
2. กดปุ่มดำเนินการแทนผู้อนุมัติขั้นที่ 1
3. เปิดกล่องจดหมายของผู้ส่ง ผู้อนุมัติที่ถูกข้าม และผู้อนุมัติคนถัดไป</t>
        </is>
      </c>
      <c r="H44" s="9" t="inlineStr">
        <is>
          <t>-</t>
        </is>
      </c>
      <c r="I44" s="9" t="inlineStr">
        <is>
          <t>ผู้ส่งได้รับอีเมลหัวข้อ “ดำเนินการแทนผู้อนุมัติ งบประมาณของฝ่าย Data Analytic ปีงบประมาณ 2027” ระบุผู้อนุมัติที่ถูกข้าม (แสดงเป็นชื่อพนักงาน ไม่ใช่รหัสพนักงาน) ผู้ดำเนินการแทน วันเวลา และสถานะปัจจุบัน; สำเนา (cc) ถึงผู้อนุมัติที่ถูกข้าม; ผู้อนุมัติคนถัดไปได้รับอีเมล “รอการอนุมัติ” ตามปกติ (รวมทั้งหมด 2 ฉบับ)</t>
        </is>
      </c>
      <c r="J44" s="10" t="n"/>
      <c r="K44" s="11" t="inlineStr">
        <is>
          <t>Not Run</t>
        </is>
      </c>
      <c r="L44" s="11" t="n"/>
      <c r="M44" s="10" t="n"/>
      <c r="N44" s="10" t="n"/>
      <c r="O44" s="11" t="n"/>
      <c r="P44" s="10" t="n"/>
    </row>
    <row r="45" ht="57.75" customHeight="1">
      <c r="A45" s="8" t="n">
        <v>42</v>
      </c>
      <c r="B45" s="9" t="inlineStr">
        <is>
          <t>TC-042</t>
        </is>
      </c>
      <c r="C45" s="9" t="inlineStr">
        <is>
          <t>Email Alert / Notification</t>
        </is>
      </c>
      <c r="D45" s="9" t="inlineStr">
        <is>
          <t>อีเมลเตือนผู้อนุมัติที่ค้างการอนุมัติเกิน 7 วัน (รวมทุกฝ่ายใน 1 ฉบับ)</t>
        </is>
      </c>
      <c r="E45" s="8" t="inlineStr">
        <is>
          <t>Medium</t>
        </is>
      </c>
      <c r="F45" s="9" t="inlineStr">
        <is>
          <t>มีงบค้างรออนุมัติจากผู้อนุมัติคนเดียวกันหลายฝ่าย และอย่างน้อย 1 ฝ่ายค้างครบ 7 วัน</t>
        </is>
      </c>
      <c r="G45" s="9" t="inlineStr">
        <is>
          <t>1. ปล่อยให้งบค้างจนครบ 7 วัน (หรือปรับวันที่ทดสอบให้ครบเกณฑ์)
2. รันงานแจ้งเตือนตามรอบ
3. เปิดกล่องจดหมายของผู้อนุมัติ</t>
        </is>
      </c>
      <c r="H45" s="9" t="inlineStr">
        <is>
          <t>ผู้อนุมัติ 1 คน มีงบค้าง 3 ฝ่าย ค้างมาแล้ว 9 / 7 / 2 วัน</t>
        </is>
      </c>
      <c r="I45" s="9" t="inlineStr">
        <is>
          <t>ผู้อนุมัติได้รับอีเมลฉบับเดียว หัวข้อ “[เตือน] มีงบประมาณ 3 ฝ่ายรอการอนุมัติจากท่าน”; ในตารางแสดงครบทุกฝ่ายที่รออยู่ (รวมฝ่ายที่ยังค้างไม่ถึง 7 วัน) พร้อมจำนวนวันที่ค้างและลิงก์แยกรายฝ่าย; เตือนซ้ำทุก 7 วันจนกว่าผู้อนุมัติจะดำเนินการ</t>
        </is>
      </c>
      <c r="J45" s="10" t="n"/>
      <c r="K45" s="11" t="inlineStr">
        <is>
          <t>Not Run</t>
        </is>
      </c>
      <c r="L45" s="11" t="n"/>
      <c r="M45" s="10" t="n"/>
      <c r="N45" s="10" t="n"/>
      <c r="O45" s="11" t="n"/>
      <c r="P45" s="10" t="n"/>
    </row>
    <row r="46" ht="57.75" customHeight="1">
      <c r="A46" s="8" t="n">
        <v>43</v>
      </c>
      <c r="B46" s="9" t="inlineStr">
        <is>
          <t>TC-043</t>
        </is>
      </c>
      <c r="C46" s="9" t="inlineStr">
        <is>
          <t>Email Alert / Notification</t>
        </is>
      </c>
      <c r="D46" s="9" t="inlineStr">
        <is>
          <t>อีเมลเตือนผู้กรอกงบที่ยังไม่ได้ส่งงบก่อนวันปิดรับ (รวมทุกฝ่ายใน 1 ฉบับ)</t>
        </is>
      </c>
      <c r="E46" s="8" t="inlineStr">
        <is>
          <t>Medium</t>
        </is>
      </c>
      <c r="F46" s="9" t="inlineStr">
        <is>
          <t>ตั้งวันเริ่มเตือนและวันปิดรับงบไว้แล้ว และ Filler ยังมีฝ่ายที่สถานะร่าง (Draft) หรือถูกตีกลับ</t>
        </is>
      </c>
      <c r="G46" s="9" t="inlineStr">
        <is>
          <t>1. ตั้งวันปิดรับให้ปัจจุบันอยู่ในช่วงเตือน
2. รันงานแจ้งเตือนตามรอบ
3. เปิดกล่องจดหมายของ Filler และตรวจช่อง cc</t>
        </is>
      </c>
      <c r="H46" s="9" t="inlineStr">
        <is>
          <t>Filler 1 คน รับผิดชอบ 2 ฝ่ายที่ยังไม่ส่งงบ</t>
        </is>
      </c>
      <c r="I46" s="9" t="inlineStr">
        <is>
          <t>Filler ได้รับอีเมลฉบับเดียว หัวข้อ “แจ้งเตือน: ยังไม่ได้ส่งงบประมาณ 2 ฝ่าย ปีงบประมาณ 2027”; แสดงรายชื่อฝ่ายที่ยังไม่ส่งครบทุกฝ่าย พร้อมลิงก์กรอกงบแยกรายฝ่ายและวันกำหนดปิดรับ; สำเนา (cc) ถึงผู้อนุมัติขั้นที่ 1 ของ Filler คนนั้น</t>
        </is>
      </c>
      <c r="J46" s="10" t="n"/>
      <c r="K46" s="11" t="inlineStr">
        <is>
          <t>Not Run</t>
        </is>
      </c>
      <c r="L46" s="11" t="n"/>
      <c r="M46" s="10" t="n"/>
      <c r="N46" s="10" t="n"/>
      <c r="O46" s="11" t="n"/>
      <c r="P46" s="10" t="n"/>
    </row>
  </sheetData>
  <autoFilter ref="A2:P46"/>
  <mergeCells count="1">
    <mergeCell ref="A1:P1"/>
  </mergeCells>
  <dataValidations count="3">
    <dataValidation sqref="K3:K46" showDropDown="0" showInputMessage="0" showErrorMessage="0" allowBlank="1" type="list">
      <formula1>"Not Run,Pass,Fail,Blocked,N/A"</formula1>
      <formula2>0</formula2>
    </dataValidation>
    <dataValidation sqref="L3:L46" showDropDown="0" showInputMessage="0" showErrorMessage="0" allowBlank="1" type="list">
      <formula1>"Critical,High,Medium,Low,-"</formula1>
      <formula2>0</formula2>
    </dataValidation>
    <dataValidation sqref="E3:E46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topLeftCell="A8" zoomScaleNormal="100" workbookViewId="0">
      <selection activeCell="B8" sqref="B8"/>
    </sheetView>
  </sheetViews>
  <sheetFormatPr baseColWidth="8" defaultColWidth="8.7109375" defaultRowHeight="14.65"/>
  <cols>
    <col width="2.28515625" customWidth="1" min="1" max="1"/>
    <col width="20" customWidth="1" min="2" max="5"/>
  </cols>
  <sheetData>
    <row r="1"/>
    <row r="2" ht="27.75" customHeight="1">
      <c r="B2" s="41" t="inlineStr">
        <is>
          <t>SIT Test Execution — Summary</t>
        </is>
      </c>
      <c r="C2" s="46" t="n"/>
      <c r="D2" s="46" t="n"/>
      <c r="E2" s="46" t="n"/>
    </row>
    <row r="3" ht="15.75" customHeight="1">
      <c r="B3" s="42" t="inlineStr">
        <is>
          <t>สรุปผลอัตโนมัติจากแท็บ “2. Test Cases” (ไม่ต้องกรอกเอง)</t>
        </is>
      </c>
      <c r="C3" s="46" t="n"/>
      <c r="D3" s="46" t="n"/>
      <c r="E3" s="46" t="n"/>
    </row>
    <row r="4"/>
    <row r="5" ht="18" customHeight="1">
      <c r="B5" s="14" t="inlineStr">
        <is>
          <t>Result</t>
        </is>
      </c>
      <c r="C5" s="43" t="inlineStr">
        <is>
          <t>Count</t>
        </is>
      </c>
      <c r="D5" s="46" t="n"/>
      <c r="E5" s="47" t="n"/>
    </row>
    <row r="6" ht="16.5" customHeight="1">
      <c r="B6" s="15" t="inlineStr">
        <is>
          <t>Total test cases</t>
        </is>
      </c>
      <c r="C6" s="44">
        <f>COUNTA('2. Test Cases'!$B$4:$B$46)</f>
        <v/>
      </c>
      <c r="D6" s="46" t="n"/>
      <c r="E6" s="47" t="n"/>
    </row>
    <row r="7" ht="16.5" customHeight="1">
      <c r="B7" s="3" t="inlineStr">
        <is>
          <t>Pass</t>
        </is>
      </c>
      <c r="C7" s="45">
        <f>COUNTIF('2. Test Cases'!$K$4:$K$46,"Pass")</f>
        <v/>
      </c>
      <c r="D7" s="46" t="n"/>
      <c r="E7" s="47" t="n"/>
    </row>
    <row r="8" ht="16.5" customHeight="1">
      <c r="B8" s="4" t="inlineStr">
        <is>
          <t>Fail</t>
        </is>
      </c>
      <c r="C8" s="37">
        <f>COUNTIF('2. Test Cases'!$K$4:$K$46,"Fail")</f>
        <v/>
      </c>
      <c r="D8" s="46" t="n"/>
      <c r="E8" s="47" t="n"/>
    </row>
    <row r="9" ht="16.5" customHeight="1">
      <c r="B9" s="2" t="inlineStr">
        <is>
          <t>Blocked</t>
        </is>
      </c>
      <c r="C9" s="38">
        <f>COUNTIF('2. Test Cases'!$K$4:$K$46,"Blocked")</f>
        <v/>
      </c>
      <c r="D9" s="46" t="n"/>
      <c r="E9" s="47" t="n"/>
    </row>
    <row r="10" ht="16.5" customHeight="1">
      <c r="B10" s="16" t="inlineStr">
        <is>
          <t>Not Run</t>
        </is>
      </c>
      <c r="C10" s="39">
        <f>COUNTIF('2. Test Cases'!$K$4:$K$46,"Not Run")</f>
        <v/>
      </c>
      <c r="D10" s="46" t="n"/>
      <c r="E10" s="47" t="n"/>
    </row>
    <row r="11" ht="16.5" customHeight="1">
      <c r="B11" s="16" t="inlineStr">
        <is>
          <t>N/A</t>
        </is>
      </c>
      <c r="C11" s="39">
        <f>COUNTIF('2. Test Cases'!$K$4:$K$46,"N/A")</f>
        <v/>
      </c>
      <c r="D11" s="46" t="n"/>
      <c r="E11" s="47" t="n"/>
    </row>
    <row r="12" ht="24.95" customHeight="1">
      <c r="B12" s="1" t="inlineStr">
        <is>
          <t>Pass Rate (Pass / Executed)</t>
        </is>
      </c>
      <c r="C12" s="40">
        <f>IFERROR(COUNTIF('2. Test Cases'!$K$4:$K$46,"Pass")/(COUNTIF('2. Test Cases'!$K$4:$K$46,"Pass")+COUNTIF('2. Test Cases'!$K$4:$K$46,"Fail")+COUNTIF('2. Test Cases'!$K$4:$K$46,"Blocked")),"-")</f>
        <v/>
      </c>
      <c r="D12" s="46" t="n"/>
      <c r="E12" s="47" t="n"/>
    </row>
    <row r="13"/>
    <row r="14" ht="18" customHeight="1">
      <c r="B14" s="35" t="inlineStr">
        <is>
          <t>Breakdown by Module</t>
        </is>
      </c>
      <c r="C14" s="46" t="n"/>
      <c r="D14" s="46" t="n"/>
      <c r="E14" s="46" t="n"/>
    </row>
    <row r="15" ht="15.75" customHeight="1">
      <c r="B15" s="17" t="inlineStr">
        <is>
          <t>Module</t>
        </is>
      </c>
      <c r="C15" s="17" t="inlineStr">
        <is>
          <t>Total</t>
        </is>
      </c>
      <c r="D15" s="17" t="inlineStr">
        <is>
          <t>Pass</t>
        </is>
      </c>
      <c r="E15" s="17" t="inlineStr">
        <is>
          <t>Fail</t>
        </is>
      </c>
    </row>
    <row r="16" ht="15" customHeight="1">
      <c r="B16" s="9" t="inlineStr">
        <is>
          <t>Login / Authentication</t>
        </is>
      </c>
      <c r="C16" s="18">
        <f>COUNTIF('2. Test Cases'!$C$4:$C$46,"Login / Authentication")</f>
        <v/>
      </c>
      <c r="D16" s="19">
        <f>COUNTIFS('2. Test Cases'!$C$4:$C$46,"Login / Authentication",'2. Test Cases'!$K$4:$K$46,"Pass")</f>
        <v/>
      </c>
      <c r="E16" s="20">
        <f>COUNTIFS('2. Test Cases'!$C$4:$C$46,"Login / Authentication",'2. Test Cases'!$K$4:$K$46,"Fail")</f>
        <v/>
      </c>
    </row>
    <row r="17" ht="15" customHeight="1">
      <c r="B17" s="9" t="inlineStr">
        <is>
          <t>Budget Entry (Filler)</t>
        </is>
      </c>
      <c r="C17" s="18">
        <f>COUNTIF('2. Test Cases'!$C$4:$C$46,"Budget Entry (Filler)")</f>
        <v/>
      </c>
      <c r="D17" s="19">
        <f>COUNTIFS('2. Test Cases'!$C$4:$C$46,"Budget Entry (Filler)",'2. Test Cases'!$K$4:$K$46,"Pass")</f>
        <v/>
      </c>
      <c r="E17" s="20">
        <f>COUNTIFS('2. Test Cases'!$C$4:$C$46,"Budget Entry (Filler)",'2. Test Cases'!$K$4:$K$46,"Fail")</f>
        <v/>
      </c>
    </row>
    <row r="18" ht="15" customHeight="1">
      <c r="B18" s="9" t="inlineStr">
        <is>
          <t>Submission / Workflow</t>
        </is>
      </c>
      <c r="C18" s="18">
        <f>COUNTIF('2. Test Cases'!$C$4:$C$46,"Submission / Workflow")</f>
        <v/>
      </c>
      <c r="D18" s="19">
        <f>COUNTIFS('2. Test Cases'!$C$4:$C$46,"Submission / Workflow",'2. Test Cases'!$K$4:$K$46,"Pass")</f>
        <v/>
      </c>
      <c r="E18" s="20">
        <f>COUNTIFS('2. Test Cases'!$C$4:$C$46,"Submission / Workflow",'2. Test Cases'!$K$4:$K$46,"Fail")</f>
        <v/>
      </c>
    </row>
    <row r="19" ht="15" customHeight="1">
      <c r="B19" s="9" t="inlineStr">
        <is>
          <t>Approval (Approver1)</t>
        </is>
      </c>
      <c r="C19" s="18">
        <f>COUNTIF('2. Test Cases'!$C$4:$C$46,"Approval (Approver1)")</f>
        <v/>
      </c>
      <c r="D19" s="19">
        <f>COUNTIFS('2. Test Cases'!$C$4:$C$46,"Approval (Approver1)",'2. Test Cases'!$K$4:$K$46,"Pass")</f>
        <v/>
      </c>
      <c r="E19" s="20">
        <f>COUNTIFS('2. Test Cases'!$C$4:$C$46,"Approval (Approver1)",'2. Test Cases'!$K$4:$K$46,"Fail")</f>
        <v/>
      </c>
    </row>
    <row r="20" ht="15" customHeight="1">
      <c r="B20" s="9" t="inlineStr">
        <is>
          <t>Business Rules</t>
        </is>
      </c>
      <c r="C20" s="18">
        <f>COUNTIF('2. Test Cases'!$C$4:$C$46,"Business Rules")</f>
        <v/>
      </c>
      <c r="D20" s="19">
        <f>COUNTIFS('2. Test Cases'!$C$4:$C$46,"Business Rules",'2. Test Cases'!$K$4:$K$46,"Pass")</f>
        <v/>
      </c>
      <c r="E20" s="20">
        <f>COUNTIFS('2. Test Cases'!$C$4:$C$46,"Business Rules",'2. Test Cases'!$K$4:$K$46,"Fail")</f>
        <v/>
      </c>
    </row>
    <row r="21" ht="15" customHeight="1">
      <c r="B21" s="9" t="inlineStr">
        <is>
          <t>Reports / Export</t>
        </is>
      </c>
      <c r="C21" s="18">
        <f>COUNTIF('2. Test Cases'!$C$4:$C$46,"Reports / Export")</f>
        <v/>
      </c>
      <c r="D21" s="19">
        <f>COUNTIFS('2. Test Cases'!$C$4:$C$46,"Reports / Export",'2. Test Cases'!$K$4:$K$46,"Pass")</f>
        <v/>
      </c>
      <c r="E21" s="20">
        <f>COUNTIFS('2. Test Cases'!$C$4:$C$46,"Reports / Export",'2. Test Cases'!$K$4:$K$46,"Fail")</f>
        <v/>
      </c>
    </row>
    <row r="22" ht="15" customHeight="1">
      <c r="B22" s="9" t="inlineStr">
        <is>
          <t>UI / UX</t>
        </is>
      </c>
      <c r="C22" s="18">
        <f>COUNTIF('2. Test Cases'!$C$4:$C$46,"UI / UX")</f>
        <v/>
      </c>
      <c r="D22" s="19">
        <f>COUNTIFS('2. Test Cases'!$C$4:$C$46,"UI / UX",'2. Test Cases'!$K$4:$K$46,"Pass")</f>
        <v/>
      </c>
      <c r="E22" s="20">
        <f>COUNTIFS('2. Test Cases'!$C$4:$C$46,"UI / UX",'2. Test Cases'!$K$4:$K$46,"Fail")</f>
        <v/>
      </c>
    </row>
    <row r="23" ht="15" customHeight="1">
      <c r="B23" s="9" t="inlineStr">
        <is>
          <t>Security</t>
        </is>
      </c>
      <c r="C23" s="18">
        <f>COUNTIF('2. Test Cases'!$C$4:$C$46,"Security")</f>
        <v/>
      </c>
      <c r="D23" s="19">
        <f>COUNTIFS('2. Test Cases'!$C$4:$C$46,"Security",'2. Test Cases'!$K$4:$K$46,"Pass")</f>
        <v/>
      </c>
      <c r="E23" s="20">
        <f>COUNTIFS('2. Test Cases'!$C$4:$C$46,"Security",'2. Test Cases'!$K$4:$K$46,"Fail")</f>
        <v/>
      </c>
    </row>
    <row r="24" ht="15" customHeight="1">
      <c r="B24" s="9" t="inlineStr">
        <is>
          <t>Data Integrity</t>
        </is>
      </c>
      <c r="C24" s="18">
        <f>COUNTIF('2. Test Cases'!$C$4:$C$46,"Data Integrity")</f>
        <v/>
      </c>
      <c r="D24" s="19">
        <f>COUNTIFS('2. Test Cases'!$C$4:$C$46,"Data Integrity",'2. Test Cases'!$K$4:$K$46,"Pass")</f>
        <v/>
      </c>
      <c r="E24" s="20">
        <f>COUNTIFS('2. Test Cases'!$C$4:$C$46,"Data Integrity",'2. Test Cases'!$K$4:$K$46,"Fail")</f>
        <v/>
      </c>
    </row>
    <row r="25">
      <c r="B25" s="9" t="inlineStr">
        <is>
          <t>Email Alert / Notification</t>
        </is>
      </c>
      <c r="C25" s="18">
        <f>COUNTIF('2. Test Cases'!$C$4:$C$46,"Email Alert / Notification")</f>
        <v/>
      </c>
      <c r="D25" s="19">
        <f>COUNTIFS('2. Test Cases'!$C$4:$C$46,"Email Alert / Notification",'2. Test Cases'!$K$4:$K$46,"Pass")</f>
        <v/>
      </c>
      <c r="E25" s="20">
        <f>COUNTIFS('2. Test Cases'!$C$4:$C$46,"Email Alert / Notification",'2. Test Cases'!$K$4:$K$46,"Fail")</f>
        <v/>
      </c>
    </row>
    <row r="26" ht="25.5" customHeight="1">
      <c r="B26" s="36" t="inlineStr">
        <is>
          <t>หมายเหตุ: ตัวเลขอัปเดตอัตโนมัติเมื่อกรอกคอลัมน์ Status ในแท็บ Test Cases (แถวตัวอย่าง EX ไม่ถูกนับ)</t>
        </is>
      </c>
      <c r="C26" s="46" t="n"/>
      <c r="D26" s="46" t="n"/>
      <c r="E26" s="46" t="n"/>
    </row>
  </sheetData>
  <mergeCells count="12">
    <mergeCell ref="B26:E26"/>
    <mergeCell ref="C11:E11"/>
    <mergeCell ref="C5:E5"/>
    <mergeCell ref="C8:E8"/>
    <mergeCell ref="C9:E9"/>
    <mergeCell ref="C6:E6"/>
    <mergeCell ref="B3:E3"/>
    <mergeCell ref="B2:E2"/>
    <mergeCell ref="C7:E7"/>
    <mergeCell ref="C12:E12"/>
    <mergeCell ref="B14:E14"/>
    <mergeCell ref="C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2026-08-10T08:40:35Z</dcterms:created>
  <dcterms:modified xmlns:dcterms="http://purl.org/dc/terms/" xmlns:xsi="http://www.w3.org/2001/XMLSchema-instance" xsi:type="dcterms:W3CDTF">2026-08-10T13:53:30Z</dcterms:modified>
  <cp:lastModifiedBy>Laddawan Kearnoi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0x0101005E81EB2EBAA4B44D8E4210972BC830E3</vt:lpwstr>
  </property>
  <property name="MediaServiceImageTags" fmtid="{D5CDD505-2E9C-101B-9397-08002B2CF9AE}" pid="3">
    <vt:lpwstr xmlns:vt="http://schemas.openxmlformats.org/officeDocument/2006/docPropsVTypes"/>
  </property>
</Properties>
</file>